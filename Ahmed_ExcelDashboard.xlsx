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6bd11af68ae4c0ef/Desktop/all projects/excel/"/>
    </mc:Choice>
  </mc:AlternateContent>
  <xr:revisionPtr revIDLastSave="680" documentId="8_{3A9C86B6-2139-4E1F-A1A7-BE6DAD675F2D}" xr6:coauthVersionLast="47" xr6:coauthVersionMax="47" xr10:uidLastSave="{DCAC9A07-D5C0-40C6-8E50-EFDFEB7F17D8}"/>
  <bookViews>
    <workbookView xWindow="-108" yWindow="-108" windowWidth="23256" windowHeight="12456" activeTab="1" xr2:uid="{4851734A-1663-4061-B185-39863CD65DE6}"/>
  </bookViews>
  <sheets>
    <sheet name="Summary" sheetId="2" r:id="rId1"/>
    <sheet name="Dashboard" sheetId="4" r:id="rId2"/>
    <sheet name="Formulas" sheetId="3" r:id="rId3"/>
    <sheet name="Ahmed_ExcelDashboard" sheetId="1" r:id="rId4"/>
  </sheets>
  <definedNames>
    <definedName name="Slicer_Gender">#N/A</definedName>
    <definedName name="Slicer_Platform_Usage">#N/A</definedName>
  </definedNames>
  <calcPr calcId="191029"/>
  <pivotCaches>
    <pivotCache cacheId="6"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8" i="3" l="1"/>
  <c r="J29" i="3"/>
  <c r="J30" i="3"/>
  <c r="J31" i="3"/>
  <c r="J32" i="3"/>
  <c r="J27" i="3"/>
  <c r="J12" i="3"/>
  <c r="J13" i="3"/>
  <c r="J14" i="3"/>
  <c r="J15" i="3"/>
  <c r="J16" i="3"/>
  <c r="J17" i="3"/>
  <c r="J18" i="3"/>
  <c r="J19" i="3"/>
  <c r="J20" i="3"/>
  <c r="J21" i="3"/>
  <c r="J22" i="3"/>
  <c r="J23" i="3"/>
  <c r="J11" i="3"/>
  <c r="I7" i="3"/>
  <c r="J3" i="3"/>
  <c r="AB1" i="1"/>
</calcChain>
</file>

<file path=xl/sharedStrings.xml><?xml version="1.0" encoding="utf-8"?>
<sst xmlns="http://schemas.openxmlformats.org/spreadsheetml/2006/main" count="658" uniqueCount="45">
  <si>
    <t>male</t>
  </si>
  <si>
    <t>Instagram</t>
  </si>
  <si>
    <t>low</t>
  </si>
  <si>
    <t>female</t>
  </si>
  <si>
    <t>TikTok</t>
  </si>
  <si>
    <t>high</t>
  </si>
  <si>
    <t>medium</t>
  </si>
  <si>
    <t>Both</t>
  </si>
  <si>
    <t>Age</t>
  </si>
  <si>
    <t>Gender</t>
  </si>
  <si>
    <t>Daily_Social_Media_Hours</t>
  </si>
  <si>
    <t>Platform_Usage</t>
  </si>
  <si>
    <t>Sleep_Hours</t>
  </si>
  <si>
    <t>Screen_Time_Before_Sleep</t>
  </si>
  <si>
    <t>Academic_Performance</t>
  </si>
  <si>
    <t>Physical_Activity</t>
  </si>
  <si>
    <t>Social_Interaction_Level</t>
  </si>
  <si>
    <t>Stress_Level</t>
  </si>
  <si>
    <t>Anxiety_Level</t>
  </si>
  <si>
    <t>Addiction_Level</t>
  </si>
  <si>
    <t>(blank)</t>
  </si>
  <si>
    <t>Grand Total</t>
  </si>
  <si>
    <t>Average Daily use</t>
  </si>
  <si>
    <t>Average  Sleep_Hours</t>
  </si>
  <si>
    <t>Platform</t>
  </si>
  <si>
    <t>Average of Anxiety_Level</t>
  </si>
  <si>
    <t>Average of Academic_Performance</t>
  </si>
  <si>
    <t>VLOOKUP</t>
  </si>
  <si>
    <t>Use VLOOKUP to find the Academic Performance of a student based on their Age.</t>
  </si>
  <si>
    <t>ENTER AGE</t>
  </si>
  <si>
    <t>ACADEMEIC PERFOMANCE</t>
  </si>
  <si>
    <t>INDEX-MATCH</t>
  </si>
  <si>
    <t>Use INDEX-MATCH to find the Stress Level of a student based on Age.</t>
  </si>
  <si>
    <t>STRESS LEVEL</t>
  </si>
  <si>
    <t>Use IF function to classify students as “High Risk” or “Low Risk” based on Addiction Level.</t>
  </si>
  <si>
    <t>IF CONDITION</t>
  </si>
  <si>
    <t>Stress Level</t>
  </si>
  <si>
    <t>RISK</t>
  </si>
  <si>
    <t>NESTED IF</t>
  </si>
  <si>
    <t>Use Nested IF to categorize Academic Performance of students.</t>
  </si>
  <si>
    <t>ACADEMIC PERFORMANCE</t>
  </si>
  <si>
    <t>STATUS</t>
  </si>
  <si>
    <t>SLEEP HOURS AND USE VS PLATFORM</t>
  </si>
  <si>
    <t>GENDER VS SLEEP HOURS AND USE</t>
  </si>
  <si>
    <t>PLATFORM USAGE VS ACADEMIC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</si>
</sst>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Aptos Narrow"/>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tint="-0.249977111117893"/>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33" borderId="11" xfId="0" applyFill="1" applyBorder="1"/>
    <xf numFmtId="0" fontId="0" fillId="33" borderId="12" xfId="0" applyFill="1" applyBorder="1"/>
    <xf numFmtId="0" fontId="0" fillId="33" borderId="13" xfId="0" applyFill="1" applyBorder="1"/>
    <xf numFmtId="0" fontId="0" fillId="0" borderId="0" xfId="0" pivotButton="1"/>
    <xf numFmtId="0" fontId="0" fillId="0" borderId="0" xfId="0" applyAlignment="1">
      <alignment horizontal="left"/>
    </xf>
    <xf numFmtId="2" fontId="0" fillId="0" borderId="0" xfId="0" applyNumberFormat="1"/>
    <xf numFmtId="0" fontId="16" fillId="34" borderId="14" xfId="0" applyFont="1" applyFill="1" applyBorder="1"/>
    <xf numFmtId="0" fontId="0" fillId="0" borderId="18" xfId="0" applyBorder="1"/>
    <xf numFmtId="0" fontId="0" fillId="0" borderId="19" xfId="0" applyBorder="1"/>
    <xf numFmtId="0" fontId="0" fillId="0" borderId="20" xfId="0" applyBorder="1"/>
    <xf numFmtId="0" fontId="16" fillId="0" borderId="17" xfId="0" applyFont="1" applyBorder="1"/>
    <xf numFmtId="0" fontId="16" fillId="0" borderId="16" xfId="0" applyFont="1" applyBorder="1"/>
    <xf numFmtId="0" fontId="16" fillId="0" borderId="10" xfId="0" applyFont="1" applyBorder="1"/>
    <xf numFmtId="0" fontId="0" fillId="0" borderId="10" xfId="0" applyBorder="1"/>
    <xf numFmtId="0" fontId="16" fillId="0" borderId="0" xfId="0" applyFont="1" applyAlignment="1">
      <alignment horizontal="center"/>
    </xf>
    <xf numFmtId="0" fontId="18" fillId="0" borderId="0" xfId="0" applyFont="1" applyAlignment="1">
      <alignment horizontal="center"/>
    </xf>
    <xf numFmtId="0" fontId="0" fillId="0" borderId="15" xfId="0" applyBorder="1" applyAlignment="1">
      <alignment horizontal="center"/>
    </xf>
    <xf numFmtId="0" fontId="0" fillId="0" borderId="16" xfId="0" applyBorder="1" applyAlignment="1">
      <alignment horizontal="center"/>
    </xf>
    <xf numFmtId="0" fontId="16" fillId="34" borderId="21" xfId="0" applyFont="1" applyFill="1" applyBorder="1" applyAlignment="1">
      <alignment horizontal="center"/>
    </xf>
    <xf numFmtId="0" fontId="16" fillId="34" borderId="22" xfId="0" applyFont="1"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1" xfId="0" applyBorder="1" applyAlignment="1">
      <alignment horizontal="center"/>
    </xf>
    <xf numFmtId="0" fontId="16" fillId="0" borderId="10"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1" defaultTableStyle="TableStyleMedium2" defaultPivotStyle="PivotStyleLight16">
    <tableStyle name="Slicer Style 1" pivot="0" table="0" count="0" xr9:uid="{65F03FFA-95A4-49FE-B442-780743FDD285}"/>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[Ahmed_ExcelDashboard.xlsx]Summary!PivotTable1</c:name>
    <c:fmtId val="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Summary!$B$3</c:f>
              <c:strCache>
                <c:ptCount val="1"/>
                <c:pt idx="0">
                  <c:v>Average  Sleep_Hours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Summary!$A$4:$A$8</c:f>
              <c:strCache>
                <c:ptCount val="4"/>
                <c:pt idx="0">
                  <c:v>Both</c:v>
                </c:pt>
                <c:pt idx="1">
                  <c:v>Instagram</c:v>
                </c:pt>
                <c:pt idx="2">
                  <c:v>TikTok</c:v>
                </c:pt>
                <c:pt idx="3">
                  <c:v>(blank)</c:v>
                </c:pt>
              </c:strCache>
            </c:strRef>
          </c:cat>
          <c:val>
            <c:numRef>
              <c:f>Summary!$B$4:$B$8</c:f>
              <c:numCache>
                <c:formatCode>0.00</c:formatCode>
                <c:ptCount val="4"/>
                <c:pt idx="0">
                  <c:v>6.60952380952381</c:v>
                </c:pt>
                <c:pt idx="1">
                  <c:v>6.4859154929577461</c:v>
                </c:pt>
                <c:pt idx="2">
                  <c:v>6.4954545454545443</c:v>
                </c:pt>
              </c:numCache>
            </c:numRef>
          </c:val>
          <c:extLst>
            <c:ext xmlns:c16="http://schemas.microsoft.com/office/drawing/2014/chart" uri="{C3380CC4-5D6E-409C-BE32-E72D297353CC}">
              <c16:uniqueId val="{00000000-8F51-4138-AAA8-BD800E749632}"/>
            </c:ext>
          </c:extLst>
        </c:ser>
        <c:ser>
          <c:idx val="1"/>
          <c:order val="1"/>
          <c:tx>
            <c:strRef>
              <c:f>Summary!$C$3</c:f>
              <c:strCache>
                <c:ptCount val="1"/>
                <c:pt idx="0">
                  <c:v>Average Daily use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Summary!$A$4:$A$8</c:f>
              <c:strCache>
                <c:ptCount val="4"/>
                <c:pt idx="0">
                  <c:v>Both</c:v>
                </c:pt>
                <c:pt idx="1">
                  <c:v>Instagram</c:v>
                </c:pt>
                <c:pt idx="2">
                  <c:v>TikTok</c:v>
                </c:pt>
                <c:pt idx="3">
                  <c:v>(blank)</c:v>
                </c:pt>
              </c:strCache>
            </c:strRef>
          </c:cat>
          <c:val>
            <c:numRef>
              <c:f>Summary!$C$4:$C$8</c:f>
              <c:numCache>
                <c:formatCode>0.00</c:formatCode>
                <c:ptCount val="4"/>
                <c:pt idx="0">
                  <c:v>4.5349206349206348</c:v>
                </c:pt>
                <c:pt idx="1">
                  <c:v>4.4042253521126771</c:v>
                </c:pt>
                <c:pt idx="2">
                  <c:v>4.1045454545454545</c:v>
                </c:pt>
              </c:numCache>
            </c:numRef>
          </c:val>
          <c:extLst>
            <c:ext xmlns:c16="http://schemas.microsoft.com/office/drawing/2014/chart" uri="{C3380CC4-5D6E-409C-BE32-E72D297353CC}">
              <c16:uniqueId val="{00000001-8F51-4138-AAA8-BD800E749632}"/>
            </c:ext>
          </c:extLst>
        </c:ser>
        <c:dLbls>
          <c:showLegendKey val="0"/>
          <c:showVal val="0"/>
          <c:showCatName val="0"/>
          <c:showSerName val="0"/>
          <c:showPercent val="0"/>
          <c:showBubbleSize val="0"/>
        </c:dLbls>
        <c:gapWidth val="100"/>
        <c:overlap val="-24"/>
        <c:axId val="1499457279"/>
        <c:axId val="1499458239"/>
      </c:barChart>
      <c:catAx>
        <c:axId val="1499457279"/>
        <c:scaling>
          <c:orientation val="minMax"/>
        </c:scaling>
        <c:delete val="0"/>
        <c:axPos val="b"/>
        <c:numFmt formatCode="General" sourceLinked="1"/>
        <c:majorTickMark val="none"/>
        <c:minorTickMark val="none"/>
        <c:tickLblPos val="nextTo"/>
        <c:spPr>
          <a:noFill/>
          <a:ln w="1270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27000">
              <a:schemeClr val="accent2">
                <a:satMod val="175000"/>
                <a:alpha val="13000"/>
              </a:schemeClr>
            </a:glow>
            <a:outerShdw blurRad="203200" dist="317500" dir="21540000" sx="82000" sy="82000" rotWithShape="0">
              <a:schemeClr val="tx1">
                <a:lumMod val="85000"/>
                <a:lumOff val="15000"/>
              </a:schemeClr>
            </a:outerShdw>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9458239"/>
        <c:crosses val="autoZero"/>
        <c:auto val="1"/>
        <c:lblAlgn val="ctr"/>
        <c:lblOffset val="100"/>
        <c:noMultiLvlLbl val="0"/>
      </c:catAx>
      <c:valAx>
        <c:axId val="149945823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945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[Ahmed_ExcelDashboard.xlsx]Summary!PivotTable2</c:name>
    <c:fmtId val="1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Summary!$H$3</c:f>
              <c:strCache>
                <c:ptCount val="1"/>
                <c:pt idx="0">
                  <c:v>Average  Sleep_Hours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Summary!$G$4:$G$7</c:f>
              <c:strCache>
                <c:ptCount val="3"/>
                <c:pt idx="0">
                  <c:v>female</c:v>
                </c:pt>
                <c:pt idx="1">
                  <c:v>male</c:v>
                </c:pt>
                <c:pt idx="2">
                  <c:v>(blank)</c:v>
                </c:pt>
              </c:strCache>
            </c:strRef>
          </c:cat>
          <c:val>
            <c:numRef>
              <c:f>Summary!$H$4:$H$7</c:f>
              <c:numCache>
                <c:formatCode>General</c:formatCode>
                <c:ptCount val="3"/>
                <c:pt idx="0">
                  <c:v>6.7344444444444411</c:v>
                </c:pt>
                <c:pt idx="1">
                  <c:v>6.3590909090909085</c:v>
                </c:pt>
              </c:numCache>
            </c:numRef>
          </c:val>
          <c:extLst>
            <c:ext xmlns:c16="http://schemas.microsoft.com/office/drawing/2014/chart" uri="{C3380CC4-5D6E-409C-BE32-E72D297353CC}">
              <c16:uniqueId val="{00000000-6E32-4161-A79B-8827CB2BC825}"/>
            </c:ext>
          </c:extLst>
        </c:ser>
        <c:ser>
          <c:idx val="1"/>
          <c:order val="1"/>
          <c:tx>
            <c:strRef>
              <c:f>Summary!$I$3</c:f>
              <c:strCache>
                <c:ptCount val="1"/>
                <c:pt idx="0">
                  <c:v>Average Daily use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Summary!$G$4:$G$7</c:f>
              <c:strCache>
                <c:ptCount val="3"/>
                <c:pt idx="0">
                  <c:v>female</c:v>
                </c:pt>
                <c:pt idx="1">
                  <c:v>male</c:v>
                </c:pt>
                <c:pt idx="2">
                  <c:v>(blank)</c:v>
                </c:pt>
              </c:strCache>
            </c:strRef>
          </c:cat>
          <c:val>
            <c:numRef>
              <c:f>Summary!$I$4:$I$7</c:f>
              <c:numCache>
                <c:formatCode>General</c:formatCode>
                <c:ptCount val="3"/>
                <c:pt idx="0">
                  <c:v>4.3444444444444441</c:v>
                </c:pt>
                <c:pt idx="1">
                  <c:v>4.3481818181818186</c:v>
                </c:pt>
              </c:numCache>
            </c:numRef>
          </c:val>
          <c:extLst>
            <c:ext xmlns:c16="http://schemas.microsoft.com/office/drawing/2014/chart" uri="{C3380CC4-5D6E-409C-BE32-E72D297353CC}">
              <c16:uniqueId val="{00000001-6E32-4161-A79B-8827CB2BC825}"/>
            </c:ext>
          </c:extLst>
        </c:ser>
        <c:dLbls>
          <c:showLegendKey val="0"/>
          <c:showVal val="0"/>
          <c:showCatName val="0"/>
          <c:showSerName val="0"/>
          <c:showPercent val="0"/>
          <c:showBubbleSize val="0"/>
        </c:dLbls>
        <c:gapWidth val="150"/>
        <c:shape val="box"/>
        <c:axId val="1841109631"/>
        <c:axId val="1841111551"/>
        <c:axId val="0"/>
      </c:bar3DChart>
      <c:catAx>
        <c:axId val="1841109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1111551"/>
        <c:crosses val="autoZero"/>
        <c:auto val="1"/>
        <c:lblAlgn val="ctr"/>
        <c:lblOffset val="100"/>
        <c:noMultiLvlLbl val="0"/>
      </c:catAx>
      <c:valAx>
        <c:axId val="184111155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110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[Ahmed_ExcelDashboard.xlsx]Summary!PivotTable3</c:name>
    <c:fmtId val="19"/>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Summary!$B$25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Summary!$A$26:$A$29</c:f>
              <c:strCache>
                <c:ptCount val="3"/>
                <c:pt idx="0">
                  <c:v>female</c:v>
                </c:pt>
                <c:pt idx="1">
                  <c:v>male</c:v>
                </c:pt>
                <c:pt idx="2">
                  <c:v>(blank)</c:v>
                </c:pt>
              </c:strCache>
            </c:strRef>
          </c:cat>
          <c:val>
            <c:numRef>
              <c:f>Summary!$B$26:$B$29</c:f>
              <c:numCache>
                <c:formatCode>General</c:formatCode>
                <c:ptCount val="3"/>
                <c:pt idx="0">
                  <c:v>5.7111111111111112</c:v>
                </c:pt>
                <c:pt idx="1">
                  <c:v>5.3272727272727272</c:v>
                </c:pt>
              </c:numCache>
            </c:numRef>
          </c:val>
          <c:extLst>
            <c:ext xmlns:c16="http://schemas.microsoft.com/office/drawing/2014/chart" uri="{C3380CC4-5D6E-409C-BE32-E72D297353CC}">
              <c16:uniqueId val="{00000000-1961-4F1E-B517-17D25570AE2A}"/>
            </c:ext>
          </c:extLst>
        </c:ser>
        <c:dLbls>
          <c:showLegendKey val="0"/>
          <c:showVal val="0"/>
          <c:showCatName val="0"/>
          <c:showSerName val="0"/>
          <c:showPercent val="0"/>
          <c:showBubbleSize val="0"/>
        </c:dLbls>
        <c:gapWidth val="182"/>
        <c:overlap val="-50"/>
        <c:axId val="1729330207"/>
        <c:axId val="1729330687"/>
      </c:barChart>
      <c:catAx>
        <c:axId val="172933020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9330687"/>
        <c:crosses val="autoZero"/>
        <c:auto val="1"/>
        <c:lblAlgn val="ctr"/>
        <c:lblOffset val="100"/>
        <c:noMultiLvlLbl val="0"/>
      </c:catAx>
      <c:valAx>
        <c:axId val="172933068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933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[Ahmed_ExcelDashboard.xlsx]Summary!PivotTable4</c:name>
    <c:fmtId val="15"/>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Summary!$H$25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Summary!$G$26:$G$29</c:f>
              <c:strCache>
                <c:ptCount val="3"/>
                <c:pt idx="0">
                  <c:v>high</c:v>
                </c:pt>
                <c:pt idx="1">
                  <c:v>low</c:v>
                </c:pt>
                <c:pt idx="2">
                  <c:v>medium</c:v>
                </c:pt>
              </c:strCache>
            </c:strRef>
          </c:cat>
          <c:val>
            <c:numRef>
              <c:f>Summary!$H$26:$H$29</c:f>
              <c:numCache>
                <c:formatCode>0.00</c:formatCode>
                <c:ptCount val="3"/>
                <c:pt idx="0">
                  <c:v>2.9479032258064519</c:v>
                </c:pt>
                <c:pt idx="1">
                  <c:v>2.9037931034482751</c:v>
                </c:pt>
                <c:pt idx="2">
                  <c:v>3.0937499999999991</c:v>
                </c:pt>
              </c:numCache>
            </c:numRef>
          </c:val>
          <c:smooth val="0"/>
          <c:extLst>
            <c:ext xmlns:c16="http://schemas.microsoft.com/office/drawing/2014/chart" uri="{C3380CC4-5D6E-409C-BE32-E72D297353CC}">
              <c16:uniqueId val="{00000000-B149-4B1A-803D-6965A2838A1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22175359"/>
        <c:axId val="1822194079"/>
      </c:lineChart>
      <c:catAx>
        <c:axId val="182217535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22194079"/>
        <c:crosses val="autoZero"/>
        <c:auto val="1"/>
        <c:lblAlgn val="ctr"/>
        <c:lblOffset val="100"/>
        <c:noMultiLvlLbl val="0"/>
      </c:catAx>
      <c:valAx>
        <c:axId val="182219407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2217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[Ahmed_ExcelDashboard.xlsx]Summary!PivotTable1</c:name>
    <c:fmtId val="8"/>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Summary!$B$3</c:f>
              <c:strCache>
                <c:ptCount val="1"/>
                <c:pt idx="0">
                  <c:v>Average  Sleep_Hours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Summary!$A$4:$A$8</c:f>
              <c:strCache>
                <c:ptCount val="4"/>
                <c:pt idx="0">
                  <c:v>Both</c:v>
                </c:pt>
                <c:pt idx="1">
                  <c:v>Instagram</c:v>
                </c:pt>
                <c:pt idx="2">
                  <c:v>TikTok</c:v>
                </c:pt>
                <c:pt idx="3">
                  <c:v>(blank)</c:v>
                </c:pt>
              </c:strCache>
            </c:strRef>
          </c:cat>
          <c:val>
            <c:numRef>
              <c:f>Summary!$B$4:$B$8</c:f>
              <c:numCache>
                <c:formatCode>0.00</c:formatCode>
                <c:ptCount val="4"/>
                <c:pt idx="0">
                  <c:v>6.60952380952381</c:v>
                </c:pt>
                <c:pt idx="1">
                  <c:v>6.4859154929577461</c:v>
                </c:pt>
                <c:pt idx="2">
                  <c:v>6.4954545454545443</c:v>
                </c:pt>
              </c:numCache>
            </c:numRef>
          </c:val>
          <c:extLst>
            <c:ext xmlns:c16="http://schemas.microsoft.com/office/drawing/2014/chart" uri="{C3380CC4-5D6E-409C-BE32-E72D297353CC}">
              <c16:uniqueId val="{00000000-5D36-4274-9E0C-3D434AA42EB7}"/>
            </c:ext>
          </c:extLst>
        </c:ser>
        <c:ser>
          <c:idx val="1"/>
          <c:order val="1"/>
          <c:tx>
            <c:strRef>
              <c:f>Summary!$C$3</c:f>
              <c:strCache>
                <c:ptCount val="1"/>
                <c:pt idx="0">
                  <c:v>Average Daily use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Summary!$A$4:$A$8</c:f>
              <c:strCache>
                <c:ptCount val="4"/>
                <c:pt idx="0">
                  <c:v>Both</c:v>
                </c:pt>
                <c:pt idx="1">
                  <c:v>Instagram</c:v>
                </c:pt>
                <c:pt idx="2">
                  <c:v>TikTok</c:v>
                </c:pt>
                <c:pt idx="3">
                  <c:v>(blank)</c:v>
                </c:pt>
              </c:strCache>
            </c:strRef>
          </c:cat>
          <c:val>
            <c:numRef>
              <c:f>Summary!$C$4:$C$8</c:f>
              <c:numCache>
                <c:formatCode>0.00</c:formatCode>
                <c:ptCount val="4"/>
                <c:pt idx="0">
                  <c:v>4.5349206349206348</c:v>
                </c:pt>
                <c:pt idx="1">
                  <c:v>4.4042253521126771</c:v>
                </c:pt>
                <c:pt idx="2">
                  <c:v>4.1045454545454545</c:v>
                </c:pt>
              </c:numCache>
            </c:numRef>
          </c:val>
          <c:extLst>
            <c:ext xmlns:c16="http://schemas.microsoft.com/office/drawing/2014/chart" uri="{C3380CC4-5D6E-409C-BE32-E72D297353CC}">
              <c16:uniqueId val="{00000001-5D36-4274-9E0C-3D434AA42EB7}"/>
            </c:ext>
          </c:extLst>
        </c:ser>
        <c:dLbls>
          <c:showLegendKey val="0"/>
          <c:showVal val="0"/>
          <c:showCatName val="0"/>
          <c:showSerName val="0"/>
          <c:showPercent val="0"/>
          <c:showBubbleSize val="0"/>
        </c:dLbls>
        <c:gapWidth val="100"/>
        <c:overlap val="-24"/>
        <c:axId val="1499457279"/>
        <c:axId val="1499458239"/>
      </c:barChart>
      <c:catAx>
        <c:axId val="1499457279"/>
        <c:scaling>
          <c:orientation val="minMax"/>
        </c:scaling>
        <c:delete val="0"/>
        <c:axPos val="b"/>
        <c:numFmt formatCode="General" sourceLinked="1"/>
        <c:majorTickMark val="none"/>
        <c:minorTickMark val="none"/>
        <c:tickLblPos val="nextTo"/>
        <c:spPr>
          <a:noFill/>
          <a:ln w="1270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127000">
              <a:schemeClr val="accent2">
                <a:satMod val="175000"/>
                <a:alpha val="13000"/>
              </a:schemeClr>
            </a:glow>
            <a:outerShdw blurRad="203200" dist="317500" dir="21540000" sx="82000" sy="82000" rotWithShape="0">
              <a:schemeClr val="tx1">
                <a:lumMod val="85000"/>
                <a:lumOff val="15000"/>
              </a:schemeClr>
            </a:outerShdw>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9458239"/>
        <c:crosses val="autoZero"/>
        <c:auto val="1"/>
        <c:lblAlgn val="ctr"/>
        <c:lblOffset val="100"/>
        <c:noMultiLvlLbl val="0"/>
      </c:catAx>
      <c:valAx>
        <c:axId val="149945823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945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[Ahmed_ExcelDashboard.xlsx]Summary!PivotTable2</c:name>
    <c:fmtId val="1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Summary!$H$3</c:f>
              <c:strCache>
                <c:ptCount val="1"/>
                <c:pt idx="0">
                  <c:v>Average  Sleep_Hours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Summary!$G$4:$G$7</c:f>
              <c:strCache>
                <c:ptCount val="3"/>
                <c:pt idx="0">
                  <c:v>female</c:v>
                </c:pt>
                <c:pt idx="1">
                  <c:v>male</c:v>
                </c:pt>
                <c:pt idx="2">
                  <c:v>(blank)</c:v>
                </c:pt>
              </c:strCache>
            </c:strRef>
          </c:cat>
          <c:val>
            <c:numRef>
              <c:f>Summary!$H$4:$H$7</c:f>
              <c:numCache>
                <c:formatCode>General</c:formatCode>
                <c:ptCount val="3"/>
                <c:pt idx="0">
                  <c:v>6.7344444444444411</c:v>
                </c:pt>
                <c:pt idx="1">
                  <c:v>6.3590909090909085</c:v>
                </c:pt>
              </c:numCache>
            </c:numRef>
          </c:val>
          <c:extLst>
            <c:ext xmlns:c16="http://schemas.microsoft.com/office/drawing/2014/chart" uri="{C3380CC4-5D6E-409C-BE32-E72D297353CC}">
              <c16:uniqueId val="{00000000-2DEE-4A89-B7F1-954DB13ED55E}"/>
            </c:ext>
          </c:extLst>
        </c:ser>
        <c:ser>
          <c:idx val="1"/>
          <c:order val="1"/>
          <c:tx>
            <c:strRef>
              <c:f>Summary!$I$3</c:f>
              <c:strCache>
                <c:ptCount val="1"/>
                <c:pt idx="0">
                  <c:v>Average Daily use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Summary!$G$4:$G$7</c:f>
              <c:strCache>
                <c:ptCount val="3"/>
                <c:pt idx="0">
                  <c:v>female</c:v>
                </c:pt>
                <c:pt idx="1">
                  <c:v>male</c:v>
                </c:pt>
                <c:pt idx="2">
                  <c:v>(blank)</c:v>
                </c:pt>
              </c:strCache>
            </c:strRef>
          </c:cat>
          <c:val>
            <c:numRef>
              <c:f>Summary!$I$4:$I$7</c:f>
              <c:numCache>
                <c:formatCode>General</c:formatCode>
                <c:ptCount val="3"/>
                <c:pt idx="0">
                  <c:v>4.3444444444444441</c:v>
                </c:pt>
                <c:pt idx="1">
                  <c:v>4.3481818181818186</c:v>
                </c:pt>
              </c:numCache>
            </c:numRef>
          </c:val>
          <c:extLst>
            <c:ext xmlns:c16="http://schemas.microsoft.com/office/drawing/2014/chart" uri="{C3380CC4-5D6E-409C-BE32-E72D297353CC}">
              <c16:uniqueId val="{00000001-2DEE-4A89-B7F1-954DB13ED55E}"/>
            </c:ext>
          </c:extLst>
        </c:ser>
        <c:dLbls>
          <c:showLegendKey val="0"/>
          <c:showVal val="0"/>
          <c:showCatName val="0"/>
          <c:showSerName val="0"/>
          <c:showPercent val="0"/>
          <c:showBubbleSize val="0"/>
        </c:dLbls>
        <c:gapWidth val="150"/>
        <c:shape val="box"/>
        <c:axId val="1841109631"/>
        <c:axId val="1841111551"/>
        <c:axId val="0"/>
      </c:bar3DChart>
      <c:catAx>
        <c:axId val="1841109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1111551"/>
        <c:crosses val="autoZero"/>
        <c:auto val="1"/>
        <c:lblAlgn val="ctr"/>
        <c:lblOffset val="100"/>
        <c:noMultiLvlLbl val="0"/>
      </c:catAx>
      <c:valAx>
        <c:axId val="184111155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110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[Ahmed_ExcelDashboard.xlsx]Summary!PivotTable4</c:name>
    <c:fmtId val="2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Summary!$H$25</c:f>
              <c:strCache>
                <c:ptCount val="1"/>
                <c:pt idx="0">
                  <c:v>Total</c:v>
                </c:pt>
              </c:strCache>
            </c:strRef>
          </c:tx>
          <c:spPr>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Summary!$G$26:$G$29</c:f>
              <c:strCache>
                <c:ptCount val="3"/>
                <c:pt idx="0">
                  <c:v>high</c:v>
                </c:pt>
                <c:pt idx="1">
                  <c:v>low</c:v>
                </c:pt>
                <c:pt idx="2">
                  <c:v>medium</c:v>
                </c:pt>
              </c:strCache>
            </c:strRef>
          </c:cat>
          <c:val>
            <c:numRef>
              <c:f>Summary!$H$26:$H$29</c:f>
              <c:numCache>
                <c:formatCode>0.00</c:formatCode>
                <c:ptCount val="3"/>
                <c:pt idx="0">
                  <c:v>2.9479032258064519</c:v>
                </c:pt>
                <c:pt idx="1">
                  <c:v>2.9037931034482751</c:v>
                </c:pt>
                <c:pt idx="2">
                  <c:v>3.0937499999999991</c:v>
                </c:pt>
              </c:numCache>
            </c:numRef>
          </c:val>
          <c:smooth val="0"/>
          <c:extLst>
            <c:ext xmlns:c16="http://schemas.microsoft.com/office/drawing/2014/chart" uri="{C3380CC4-5D6E-409C-BE32-E72D297353CC}">
              <c16:uniqueId val="{00000000-C7AA-468B-8687-3DF1611093FB}"/>
            </c:ext>
          </c:extLst>
        </c:ser>
        <c:dLbls>
          <c:dLblPos val="t"/>
          <c:showLegendKey val="0"/>
          <c:showVal val="1"/>
          <c:showCatName val="0"/>
          <c:showSerName val="0"/>
          <c:showPercent val="0"/>
          <c:showBubbleSize val="0"/>
        </c:dLbls>
        <c:dropLines>
          <c:spPr>
            <a:ln w="9525">
              <a:solidFill>
                <a:schemeClr val="lt1">
                  <a:lumMod val="95000"/>
                  <a:alpha val="54000"/>
                </a:schemeClr>
              </a:solidFill>
              <a:prstDash val="dash"/>
            </a:ln>
            <a:effectLst/>
          </c:spPr>
        </c:dropLines>
        <c:marker val="1"/>
        <c:smooth val="0"/>
        <c:axId val="1822175359"/>
        <c:axId val="1822194079"/>
      </c:lineChart>
      <c:catAx>
        <c:axId val="18221753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22194079"/>
        <c:crosses val="autoZero"/>
        <c:auto val="1"/>
        <c:lblAlgn val="ctr"/>
        <c:lblOffset val="100"/>
        <c:noMultiLvlLbl val="0"/>
      </c:catAx>
      <c:valAx>
        <c:axId val="1822194079"/>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2217535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34290</xdr:rowOff>
    </xdr:from>
    <xdr:to>
      <xdr:col>5</xdr:col>
      <xdr:colOff>190500</xdr:colOff>
      <xdr:row>22</xdr:row>
      <xdr:rowOff>34290</xdr:rowOff>
    </xdr:to>
    <xdr:graphicFrame macro="">
      <xdr:nvGraphicFramePr>
        <xdr:cNvPr id="2" name="Chart 1">
          <a:extLst>
            <a:ext uri="{FF2B5EF4-FFF2-40B4-BE49-F238E27FC236}">
              <a16:creationId xmlns:a16="http://schemas.microsoft.com/office/drawing/2014/main" id="{EB1AE1EB-4CE2-0DDD-C21C-8EAFEB4E3F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91440</xdr:colOff>
      <xdr:row>7</xdr:row>
      <xdr:rowOff>57150</xdr:rowOff>
    </xdr:from>
    <xdr:to>
      <xdr:col>11</xdr:col>
      <xdr:colOff>281940</xdr:colOff>
      <xdr:row>22</xdr:row>
      <xdr:rowOff>57150</xdr:rowOff>
    </xdr:to>
    <xdr:graphicFrame macro="">
      <xdr:nvGraphicFramePr>
        <xdr:cNvPr id="3" name="Chart 2">
          <a:extLst>
            <a:ext uri="{FF2B5EF4-FFF2-40B4-BE49-F238E27FC236}">
              <a16:creationId xmlns:a16="http://schemas.microsoft.com/office/drawing/2014/main" id="{AF93BA17-E59B-69B0-811F-478780ADB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118110</xdr:rowOff>
    </xdr:from>
    <xdr:to>
      <xdr:col>4</xdr:col>
      <xdr:colOff>586740</xdr:colOff>
      <xdr:row>43</xdr:row>
      <xdr:rowOff>118110</xdr:rowOff>
    </xdr:to>
    <xdr:graphicFrame macro="">
      <xdr:nvGraphicFramePr>
        <xdr:cNvPr id="4" name="Chart 3">
          <a:extLst>
            <a:ext uri="{FF2B5EF4-FFF2-40B4-BE49-F238E27FC236}">
              <a16:creationId xmlns:a16="http://schemas.microsoft.com/office/drawing/2014/main" id="{DD27FA25-1C8F-6FEC-E455-AD0E620569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60960</xdr:colOff>
      <xdr:row>29</xdr:row>
      <xdr:rowOff>171450</xdr:rowOff>
    </xdr:from>
    <xdr:to>
      <xdr:col>10</xdr:col>
      <xdr:colOff>53340</xdr:colOff>
      <xdr:row>44</xdr:row>
      <xdr:rowOff>171450</xdr:rowOff>
    </xdr:to>
    <xdr:graphicFrame macro="">
      <xdr:nvGraphicFramePr>
        <xdr:cNvPr id="5" name="Chart 4">
          <a:extLst>
            <a:ext uri="{FF2B5EF4-FFF2-40B4-BE49-F238E27FC236}">
              <a16:creationId xmlns:a16="http://schemas.microsoft.com/office/drawing/2014/main" id="{9716E0C2-8A0F-DE91-9783-9C577ADBCC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362320</xdr:colOff>
      <xdr:row>7</xdr:row>
      <xdr:rowOff>127327</xdr:rowOff>
    </xdr:from>
    <xdr:to>
      <xdr:col>14</xdr:col>
      <xdr:colOff>347572</xdr:colOff>
      <xdr:row>21</xdr:row>
      <xdr:rowOff>13334</xdr:rowOff>
    </xdr:to>
    <mc:AlternateContent xmlns:mc="http://schemas.openxmlformats.org/markup-compatibility/2006" xmlns:a14="http://schemas.microsoft.com/office/drawing/2010/main">
      <mc:Choice Requires="a14">
        <xdr:graphicFrame macro="">
          <xdr:nvGraphicFramePr>
            <xdr:cNvPr id="6" name="Platform_Usage">
              <a:extLst>
                <a:ext uri="{FF2B5EF4-FFF2-40B4-BE49-F238E27FC236}">
                  <a16:creationId xmlns:a16="http://schemas.microsoft.com/office/drawing/2014/main" id="{5374BB81-5388-604B-CEA3-2326390B8701}"/>
                </a:ext>
              </a:extLst>
            </xdr:cNvPr>
            <xdr:cNvGraphicFramePr/>
          </xdr:nvGraphicFramePr>
          <xdr:xfrm>
            <a:off x="0" y="0"/>
            <a:ext cx="0" cy="0"/>
          </xdr:xfrm>
          <a:graphic>
            <a:graphicData uri="http://schemas.microsoft.com/office/drawing/2010/slicer">
              <sle:slicer xmlns:sle="http://schemas.microsoft.com/office/drawing/2010/slicer" name="Platform_Usage"/>
            </a:graphicData>
          </a:graphic>
        </xdr:graphicFrame>
      </mc:Choice>
      <mc:Fallback xmlns="">
        <xdr:sp macro="" textlink="">
          <xdr:nvSpPr>
            <xdr:cNvPr id="0" name=""/>
            <xdr:cNvSpPr>
              <a:spLocks noTextEdit="1"/>
            </xdr:cNvSpPr>
          </xdr:nvSpPr>
          <xdr:spPr>
            <a:xfrm>
              <a:off x="12345385" y="141781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558965</xdr:colOff>
      <xdr:row>31</xdr:row>
      <xdr:rowOff>16714</xdr:rowOff>
    </xdr:from>
    <xdr:to>
      <xdr:col>13</xdr:col>
      <xdr:colOff>544216</xdr:colOff>
      <xdr:row>44</xdr:row>
      <xdr:rowOff>87076</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F2E15308-D0AA-2362-73A2-B5FE350ED4D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927513" y="573171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51</xdr:col>
      <xdr:colOff>33131</xdr:colOff>
      <xdr:row>60</xdr:row>
      <xdr:rowOff>172528</xdr:rowOff>
    </xdr:to>
    <xdr:sp macro="" textlink="">
      <xdr:nvSpPr>
        <xdr:cNvPr id="21" name="Rectangle 20">
          <a:extLst>
            <a:ext uri="{FF2B5EF4-FFF2-40B4-BE49-F238E27FC236}">
              <a16:creationId xmlns:a16="http://schemas.microsoft.com/office/drawing/2014/main" id="{DC6A8DD9-DB71-1BA7-A79D-69EA889017F7}"/>
            </a:ext>
          </a:extLst>
        </xdr:cNvPr>
        <xdr:cNvSpPr/>
      </xdr:nvSpPr>
      <xdr:spPr>
        <a:xfrm>
          <a:off x="0" y="0"/>
          <a:ext cx="31291696" cy="11105571"/>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365760</xdr:colOff>
      <xdr:row>1</xdr:row>
      <xdr:rowOff>137160</xdr:rowOff>
    </xdr:from>
    <xdr:to>
      <xdr:col>3</xdr:col>
      <xdr:colOff>487680</xdr:colOff>
      <xdr:row>7</xdr:row>
      <xdr:rowOff>137160</xdr:rowOff>
    </xdr:to>
    <xdr:sp macro="" textlink="">
      <xdr:nvSpPr>
        <xdr:cNvPr id="2" name="Rectangle 1">
          <a:extLst>
            <a:ext uri="{FF2B5EF4-FFF2-40B4-BE49-F238E27FC236}">
              <a16:creationId xmlns:a16="http://schemas.microsoft.com/office/drawing/2014/main" id="{48359A0D-0CB2-2D48-0481-7C2434B5CE72}"/>
            </a:ext>
          </a:extLst>
        </xdr:cNvPr>
        <xdr:cNvSpPr/>
      </xdr:nvSpPr>
      <xdr:spPr>
        <a:xfrm>
          <a:off x="969609" y="324066"/>
          <a:ext cx="1329618" cy="1121434"/>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365760</xdr:colOff>
      <xdr:row>2</xdr:row>
      <xdr:rowOff>68580</xdr:rowOff>
    </xdr:from>
    <xdr:to>
      <xdr:col>3</xdr:col>
      <xdr:colOff>480060</xdr:colOff>
      <xdr:row>4</xdr:row>
      <xdr:rowOff>152400</xdr:rowOff>
    </xdr:to>
    <xdr:sp macro="" textlink="">
      <xdr:nvSpPr>
        <xdr:cNvPr id="3" name="TextBox 2">
          <a:extLst>
            <a:ext uri="{FF2B5EF4-FFF2-40B4-BE49-F238E27FC236}">
              <a16:creationId xmlns:a16="http://schemas.microsoft.com/office/drawing/2014/main" id="{AF7BF021-B1EC-6966-3FA3-CB62858F5580}"/>
            </a:ext>
          </a:extLst>
        </xdr:cNvPr>
        <xdr:cNvSpPr txBox="1"/>
      </xdr:nvSpPr>
      <xdr:spPr>
        <a:xfrm>
          <a:off x="969609" y="442391"/>
          <a:ext cx="1321998" cy="457632"/>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algn="ctr"/>
          <a:r>
            <a:rPr lang="en-IN" sz="1100">
              <a:latin typeface="Aptos" panose="020B0004020202020204" pitchFamily="34" charset="0"/>
            </a:rPr>
            <a:t>AVERAGE</a:t>
          </a:r>
          <a:r>
            <a:rPr lang="en-IN" sz="1100" baseline="0">
              <a:latin typeface="Aptos" panose="020B0004020202020204" pitchFamily="34" charset="0"/>
            </a:rPr>
            <a:t> SLEEP HOURS</a:t>
          </a:r>
          <a:endParaRPr lang="en-IN" sz="1100">
            <a:latin typeface="Aptos" panose="020B0004020202020204" pitchFamily="34" charset="0"/>
          </a:endParaRPr>
        </a:p>
      </xdr:txBody>
    </xdr:sp>
    <xdr:clientData/>
  </xdr:twoCellAnchor>
  <xdr:twoCellAnchor>
    <xdr:from>
      <xdr:col>1</xdr:col>
      <xdr:colOff>365760</xdr:colOff>
      <xdr:row>4</xdr:row>
      <xdr:rowOff>175260</xdr:rowOff>
    </xdr:from>
    <xdr:to>
      <xdr:col>3</xdr:col>
      <xdr:colOff>480060</xdr:colOff>
      <xdr:row>7</xdr:row>
      <xdr:rowOff>76200</xdr:rowOff>
    </xdr:to>
    <xdr:sp macro="" textlink="">
      <xdr:nvSpPr>
        <xdr:cNvPr id="4" name="TextBox 3">
          <a:extLst>
            <a:ext uri="{FF2B5EF4-FFF2-40B4-BE49-F238E27FC236}">
              <a16:creationId xmlns:a16="http://schemas.microsoft.com/office/drawing/2014/main" id="{82D7ACE9-89E2-4E2D-87E2-4EA35B245E96}"/>
            </a:ext>
          </a:extLst>
        </xdr:cNvPr>
        <xdr:cNvSpPr txBox="1"/>
      </xdr:nvSpPr>
      <xdr:spPr>
        <a:xfrm>
          <a:off x="969609" y="922883"/>
          <a:ext cx="1321998" cy="461657"/>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algn="ctr"/>
          <a:r>
            <a:rPr lang="en-IN" sz="2400">
              <a:latin typeface="Aptos" panose="020B0004020202020204" pitchFamily="34" charset="0"/>
            </a:rPr>
            <a:t>6.528</a:t>
          </a:r>
        </a:p>
        <a:p>
          <a:pPr algn="ctr"/>
          <a:endParaRPr lang="en-IN" sz="1100">
            <a:latin typeface="Aptos" panose="020B0004020202020204" pitchFamily="34" charset="0"/>
          </a:endParaRPr>
        </a:p>
      </xdr:txBody>
    </xdr:sp>
    <xdr:clientData/>
  </xdr:twoCellAnchor>
  <xdr:twoCellAnchor>
    <xdr:from>
      <xdr:col>4</xdr:col>
      <xdr:colOff>227166</xdr:colOff>
      <xdr:row>2</xdr:row>
      <xdr:rowOff>81006</xdr:rowOff>
    </xdr:from>
    <xdr:to>
      <xdr:col>8</xdr:col>
      <xdr:colOff>504082</xdr:colOff>
      <xdr:row>7</xdr:row>
      <xdr:rowOff>165282</xdr:rowOff>
    </xdr:to>
    <xdr:sp macro="" textlink="">
      <xdr:nvSpPr>
        <xdr:cNvPr id="5" name="Rectangle 4">
          <a:extLst>
            <a:ext uri="{FF2B5EF4-FFF2-40B4-BE49-F238E27FC236}">
              <a16:creationId xmlns:a16="http://schemas.microsoft.com/office/drawing/2014/main" id="{6BC1D2B7-3ACB-4C3D-93AF-E0E1D3E7C0E4}"/>
            </a:ext>
          </a:extLst>
        </xdr:cNvPr>
        <xdr:cNvSpPr/>
      </xdr:nvSpPr>
      <xdr:spPr>
        <a:xfrm>
          <a:off x="2660099" y="450046"/>
          <a:ext cx="2709848" cy="1006877"/>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227166</xdr:colOff>
      <xdr:row>2</xdr:row>
      <xdr:rowOff>137706</xdr:rowOff>
    </xdr:from>
    <xdr:to>
      <xdr:col>8</xdr:col>
      <xdr:colOff>488638</xdr:colOff>
      <xdr:row>4</xdr:row>
      <xdr:rowOff>180522</xdr:rowOff>
    </xdr:to>
    <xdr:sp macro="" textlink="">
      <xdr:nvSpPr>
        <xdr:cNvPr id="6" name="TextBox 5">
          <a:extLst>
            <a:ext uri="{FF2B5EF4-FFF2-40B4-BE49-F238E27FC236}">
              <a16:creationId xmlns:a16="http://schemas.microsoft.com/office/drawing/2014/main" id="{F948B1C8-2D02-4FF6-B825-F6D7DF89DD2F}"/>
            </a:ext>
          </a:extLst>
        </xdr:cNvPr>
        <xdr:cNvSpPr txBox="1"/>
      </xdr:nvSpPr>
      <xdr:spPr>
        <a:xfrm>
          <a:off x="2660099" y="506746"/>
          <a:ext cx="2694404" cy="411857"/>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algn="ctr"/>
          <a:r>
            <a:rPr lang="en-IN" sz="1100">
              <a:latin typeface="Aptos" panose="020B0004020202020204" pitchFamily="34" charset="0"/>
            </a:rPr>
            <a:t>AVERAGE</a:t>
          </a:r>
          <a:r>
            <a:rPr lang="en-IN" sz="1100" baseline="0">
              <a:latin typeface="Aptos" panose="020B0004020202020204" pitchFamily="34" charset="0"/>
            </a:rPr>
            <a:t> STRESS LEVELS</a:t>
          </a:r>
          <a:endParaRPr lang="en-IN" sz="1100">
            <a:latin typeface="Aptos" panose="020B0004020202020204" pitchFamily="34" charset="0"/>
          </a:endParaRPr>
        </a:p>
      </xdr:txBody>
    </xdr:sp>
    <xdr:clientData/>
  </xdr:twoCellAnchor>
  <xdr:twoCellAnchor>
    <xdr:from>
      <xdr:col>4</xdr:col>
      <xdr:colOff>227166</xdr:colOff>
      <xdr:row>5</xdr:row>
      <xdr:rowOff>61506</xdr:rowOff>
    </xdr:from>
    <xdr:to>
      <xdr:col>8</xdr:col>
      <xdr:colOff>488638</xdr:colOff>
      <xdr:row>7</xdr:row>
      <xdr:rowOff>104322</xdr:rowOff>
    </xdr:to>
    <xdr:sp macro="" textlink="">
      <xdr:nvSpPr>
        <xdr:cNvPr id="7" name="TextBox 6">
          <a:extLst>
            <a:ext uri="{FF2B5EF4-FFF2-40B4-BE49-F238E27FC236}">
              <a16:creationId xmlns:a16="http://schemas.microsoft.com/office/drawing/2014/main" id="{C4E4D2AB-6986-49AE-BA91-78CD479B248E}"/>
            </a:ext>
          </a:extLst>
        </xdr:cNvPr>
        <xdr:cNvSpPr txBox="1"/>
      </xdr:nvSpPr>
      <xdr:spPr>
        <a:xfrm>
          <a:off x="2660099" y="984107"/>
          <a:ext cx="2694404" cy="411856"/>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algn="ctr"/>
          <a:r>
            <a:rPr lang="en-IN" sz="2400">
              <a:latin typeface="Aptos" panose="020B0004020202020204" pitchFamily="34" charset="0"/>
            </a:rPr>
            <a:t>5.42</a:t>
          </a:r>
        </a:p>
        <a:p>
          <a:pPr algn="ctr"/>
          <a:endParaRPr lang="en-IN" sz="1100">
            <a:latin typeface="Aptos" panose="020B0004020202020204" pitchFamily="34" charset="0"/>
          </a:endParaRPr>
        </a:p>
      </xdr:txBody>
    </xdr:sp>
    <xdr:clientData/>
  </xdr:twoCellAnchor>
  <xdr:twoCellAnchor>
    <xdr:from>
      <xdr:col>8</xdr:col>
      <xdr:colOff>551886</xdr:colOff>
      <xdr:row>2</xdr:row>
      <xdr:rowOff>10729</xdr:rowOff>
    </xdr:from>
    <xdr:to>
      <xdr:col>13</xdr:col>
      <xdr:colOff>497853</xdr:colOff>
      <xdr:row>8</xdr:row>
      <xdr:rowOff>10729</xdr:rowOff>
    </xdr:to>
    <xdr:sp macro="" textlink="">
      <xdr:nvSpPr>
        <xdr:cNvPr id="8" name="Rectangle 7">
          <a:extLst>
            <a:ext uri="{FF2B5EF4-FFF2-40B4-BE49-F238E27FC236}">
              <a16:creationId xmlns:a16="http://schemas.microsoft.com/office/drawing/2014/main" id="{BF4EB739-FA2C-4A1A-B0BA-7599A3D1AA1E}"/>
            </a:ext>
          </a:extLst>
        </xdr:cNvPr>
        <xdr:cNvSpPr/>
      </xdr:nvSpPr>
      <xdr:spPr>
        <a:xfrm>
          <a:off x="5417751" y="379769"/>
          <a:ext cx="2987133" cy="1107121"/>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551887</xdr:colOff>
      <xdr:row>2</xdr:row>
      <xdr:rowOff>126669</xdr:rowOff>
    </xdr:from>
    <xdr:to>
      <xdr:col>13</xdr:col>
      <xdr:colOff>485221</xdr:colOff>
      <xdr:row>5</xdr:row>
      <xdr:rowOff>25969</xdr:rowOff>
    </xdr:to>
    <xdr:sp macro="" textlink="">
      <xdr:nvSpPr>
        <xdr:cNvPr id="9" name="TextBox 8">
          <a:extLst>
            <a:ext uri="{FF2B5EF4-FFF2-40B4-BE49-F238E27FC236}">
              <a16:creationId xmlns:a16="http://schemas.microsoft.com/office/drawing/2014/main" id="{05369299-913E-4692-B8F0-C8D339EED523}"/>
            </a:ext>
          </a:extLst>
        </xdr:cNvPr>
        <xdr:cNvSpPr txBox="1"/>
      </xdr:nvSpPr>
      <xdr:spPr>
        <a:xfrm>
          <a:off x="5417752" y="495709"/>
          <a:ext cx="2974500" cy="452861"/>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algn="ctr"/>
          <a:r>
            <a:rPr lang="en-IN" sz="1100">
              <a:latin typeface="Aptos" panose="020B0004020202020204" pitchFamily="34" charset="0"/>
            </a:rPr>
            <a:t>AVERAGE</a:t>
          </a:r>
          <a:r>
            <a:rPr lang="en-IN" sz="1100" baseline="0">
              <a:latin typeface="Aptos" panose="020B0004020202020204" pitchFamily="34" charset="0"/>
            </a:rPr>
            <a:t> ACADEMIC PERFORMANCE</a:t>
          </a:r>
          <a:endParaRPr lang="en-IN" sz="1100">
            <a:latin typeface="Aptos" panose="020B0004020202020204" pitchFamily="34" charset="0"/>
          </a:endParaRPr>
        </a:p>
      </xdr:txBody>
    </xdr:sp>
    <xdr:clientData/>
  </xdr:twoCellAnchor>
  <xdr:twoCellAnchor>
    <xdr:from>
      <xdr:col>8</xdr:col>
      <xdr:colOff>551887</xdr:colOff>
      <xdr:row>5</xdr:row>
      <xdr:rowOff>48829</xdr:rowOff>
    </xdr:from>
    <xdr:to>
      <xdr:col>13</xdr:col>
      <xdr:colOff>485221</xdr:colOff>
      <xdr:row>7</xdr:row>
      <xdr:rowOff>134289</xdr:rowOff>
    </xdr:to>
    <xdr:sp macro="" textlink="">
      <xdr:nvSpPr>
        <xdr:cNvPr id="10" name="TextBox 9">
          <a:extLst>
            <a:ext uri="{FF2B5EF4-FFF2-40B4-BE49-F238E27FC236}">
              <a16:creationId xmlns:a16="http://schemas.microsoft.com/office/drawing/2014/main" id="{4158E2AA-6787-4628-9EE4-8C7CEF0110DB}"/>
            </a:ext>
          </a:extLst>
        </xdr:cNvPr>
        <xdr:cNvSpPr txBox="1"/>
      </xdr:nvSpPr>
      <xdr:spPr>
        <a:xfrm>
          <a:off x="5417752" y="971430"/>
          <a:ext cx="2974500" cy="454500"/>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algn="ctr"/>
          <a:r>
            <a:rPr lang="en-IN" sz="2400">
              <a:latin typeface="Aptos" panose="020B0004020202020204" pitchFamily="34" charset="0"/>
            </a:rPr>
            <a:t>3.00</a:t>
          </a:r>
        </a:p>
      </xdr:txBody>
    </xdr:sp>
    <xdr:clientData/>
  </xdr:twoCellAnchor>
  <xdr:twoCellAnchor>
    <xdr:from>
      <xdr:col>14</xdr:col>
      <xdr:colOff>64697</xdr:colOff>
      <xdr:row>2</xdr:row>
      <xdr:rowOff>7764</xdr:rowOff>
    </xdr:from>
    <xdr:to>
      <xdr:col>18</xdr:col>
      <xdr:colOff>298833</xdr:colOff>
      <xdr:row>8</xdr:row>
      <xdr:rowOff>7764</xdr:rowOff>
    </xdr:to>
    <xdr:sp macro="" textlink="">
      <xdr:nvSpPr>
        <xdr:cNvPr id="11" name="Rectangle 10">
          <a:extLst>
            <a:ext uri="{FF2B5EF4-FFF2-40B4-BE49-F238E27FC236}">
              <a16:creationId xmlns:a16="http://schemas.microsoft.com/office/drawing/2014/main" id="{B52E4519-599D-4AA0-BE2C-0F3A7A8B9654}"/>
            </a:ext>
          </a:extLst>
        </xdr:cNvPr>
        <xdr:cNvSpPr/>
      </xdr:nvSpPr>
      <xdr:spPr>
        <a:xfrm>
          <a:off x="8518584" y="381575"/>
          <a:ext cx="2649532" cy="1121434"/>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64697</xdr:colOff>
      <xdr:row>2</xdr:row>
      <xdr:rowOff>126089</xdr:rowOff>
    </xdr:from>
    <xdr:to>
      <xdr:col>18</xdr:col>
      <xdr:colOff>287546</xdr:colOff>
      <xdr:row>5</xdr:row>
      <xdr:rowOff>23004</xdr:rowOff>
    </xdr:to>
    <xdr:sp macro="" textlink="">
      <xdr:nvSpPr>
        <xdr:cNvPr id="12" name="TextBox 11">
          <a:extLst>
            <a:ext uri="{FF2B5EF4-FFF2-40B4-BE49-F238E27FC236}">
              <a16:creationId xmlns:a16="http://schemas.microsoft.com/office/drawing/2014/main" id="{A033E371-EB6F-48B2-8AE2-C0D688410CE4}"/>
            </a:ext>
          </a:extLst>
        </xdr:cNvPr>
        <xdr:cNvSpPr txBox="1"/>
      </xdr:nvSpPr>
      <xdr:spPr>
        <a:xfrm>
          <a:off x="8518584" y="499900"/>
          <a:ext cx="2638245" cy="457632"/>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algn="ctr"/>
          <a:r>
            <a:rPr lang="en-IN" sz="1100">
              <a:latin typeface="Aptos" panose="020B0004020202020204" pitchFamily="34" charset="0"/>
            </a:rPr>
            <a:t>AVERAGE</a:t>
          </a:r>
          <a:r>
            <a:rPr lang="en-IN" sz="1100" baseline="0">
              <a:latin typeface="Aptos" panose="020B0004020202020204" pitchFamily="34" charset="0"/>
            </a:rPr>
            <a:t> SOCIAL MEDIA HOURS</a:t>
          </a:r>
        </a:p>
        <a:p>
          <a:pPr algn="ctr"/>
          <a:endParaRPr lang="en-IN" sz="1100">
            <a:latin typeface="Aptos" panose="020B0004020202020204" pitchFamily="34" charset="0"/>
          </a:endParaRPr>
        </a:p>
      </xdr:txBody>
    </xdr:sp>
    <xdr:clientData/>
  </xdr:twoCellAnchor>
  <xdr:twoCellAnchor>
    <xdr:from>
      <xdr:col>14</xdr:col>
      <xdr:colOff>64697</xdr:colOff>
      <xdr:row>5</xdr:row>
      <xdr:rowOff>45864</xdr:rowOff>
    </xdr:from>
    <xdr:to>
      <xdr:col>18</xdr:col>
      <xdr:colOff>287546</xdr:colOff>
      <xdr:row>7</xdr:row>
      <xdr:rowOff>133709</xdr:rowOff>
    </xdr:to>
    <xdr:sp macro="" textlink="">
      <xdr:nvSpPr>
        <xdr:cNvPr id="13" name="TextBox 12">
          <a:extLst>
            <a:ext uri="{FF2B5EF4-FFF2-40B4-BE49-F238E27FC236}">
              <a16:creationId xmlns:a16="http://schemas.microsoft.com/office/drawing/2014/main" id="{3B5EBFC1-A46E-4F6E-B03C-963E24B0005D}"/>
            </a:ext>
          </a:extLst>
        </xdr:cNvPr>
        <xdr:cNvSpPr txBox="1"/>
      </xdr:nvSpPr>
      <xdr:spPr>
        <a:xfrm>
          <a:off x="8518584" y="980392"/>
          <a:ext cx="2638245" cy="461657"/>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algn="ctr"/>
          <a:r>
            <a:rPr lang="en-IN" sz="2400">
              <a:latin typeface="Aptos" panose="020B0004020202020204" pitchFamily="34" charset="0"/>
            </a:rPr>
            <a:t>4.34</a:t>
          </a:r>
        </a:p>
        <a:p>
          <a:pPr algn="ctr"/>
          <a:endParaRPr lang="en-IN" sz="2400">
            <a:latin typeface="Aptos" panose="020B0004020202020204" pitchFamily="34" charset="0"/>
          </a:endParaRPr>
        </a:p>
      </xdr:txBody>
    </xdr:sp>
    <xdr:clientData/>
  </xdr:twoCellAnchor>
  <xdr:twoCellAnchor>
    <xdr:from>
      <xdr:col>1</xdr:col>
      <xdr:colOff>128103</xdr:colOff>
      <xdr:row>9</xdr:row>
      <xdr:rowOff>94890</xdr:rowOff>
    </xdr:from>
    <xdr:to>
      <xdr:col>15</xdr:col>
      <xdr:colOff>201283</xdr:colOff>
      <xdr:row>24</xdr:row>
      <xdr:rowOff>94890</xdr:rowOff>
    </xdr:to>
    <xdr:graphicFrame macro="">
      <xdr:nvGraphicFramePr>
        <xdr:cNvPr id="14" name="Chart 13">
          <a:extLst>
            <a:ext uri="{FF2B5EF4-FFF2-40B4-BE49-F238E27FC236}">
              <a16:creationId xmlns:a16="http://schemas.microsoft.com/office/drawing/2014/main" id="{88E92D8B-502D-4216-A6CB-55AF058F5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43132</xdr:colOff>
      <xdr:row>9</xdr:row>
      <xdr:rowOff>28755</xdr:rowOff>
    </xdr:from>
    <xdr:to>
      <xdr:col>31</xdr:col>
      <xdr:colOff>215660</xdr:colOff>
      <xdr:row>24</xdr:row>
      <xdr:rowOff>28755</xdr:rowOff>
    </xdr:to>
    <xdr:graphicFrame macro="">
      <xdr:nvGraphicFramePr>
        <xdr:cNvPr id="15" name="Chart 14">
          <a:extLst>
            <a:ext uri="{FF2B5EF4-FFF2-40B4-BE49-F238E27FC236}">
              <a16:creationId xmlns:a16="http://schemas.microsoft.com/office/drawing/2014/main" id="{5B260F9C-1D54-49C0-92FC-D073CD4BF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142912</xdr:colOff>
      <xdr:row>24</xdr:row>
      <xdr:rowOff>99068</xdr:rowOff>
    </xdr:from>
    <xdr:to>
      <xdr:col>12</xdr:col>
      <xdr:colOff>301923</xdr:colOff>
      <xdr:row>39</xdr:row>
      <xdr:rowOff>99068</xdr:rowOff>
    </xdr:to>
    <xdr:graphicFrame macro="">
      <xdr:nvGraphicFramePr>
        <xdr:cNvPr id="16" name="Chart 15">
          <a:extLst>
            <a:ext uri="{FF2B5EF4-FFF2-40B4-BE49-F238E27FC236}">
              <a16:creationId xmlns:a16="http://schemas.microsoft.com/office/drawing/2014/main" id="{A03B5699-578A-4753-8BEB-5213D7FAC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51548</xdr:colOff>
      <xdr:row>25</xdr:row>
      <xdr:rowOff>9469</xdr:rowOff>
    </xdr:from>
    <xdr:to>
      <xdr:col>35</xdr:col>
      <xdr:colOff>353122</xdr:colOff>
      <xdr:row>45</xdr:row>
      <xdr:rowOff>37169</xdr:rowOff>
    </xdr:to>
    <xdr:sp macro="" textlink="">
      <xdr:nvSpPr>
        <xdr:cNvPr id="17" name="Rectangle 16">
          <a:extLst>
            <a:ext uri="{FF2B5EF4-FFF2-40B4-BE49-F238E27FC236}">
              <a16:creationId xmlns:a16="http://schemas.microsoft.com/office/drawing/2014/main" id="{3BD859F2-4878-BBDA-25FF-5C7B4889FFF3}"/>
            </a:ext>
          </a:extLst>
        </xdr:cNvPr>
        <xdr:cNvSpPr/>
      </xdr:nvSpPr>
      <xdr:spPr>
        <a:xfrm>
          <a:off x="11091255" y="4655810"/>
          <a:ext cx="10727965" cy="374477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439736</xdr:colOff>
      <xdr:row>26</xdr:row>
      <xdr:rowOff>137815</xdr:rowOff>
    </xdr:from>
    <xdr:to>
      <xdr:col>34</xdr:col>
      <xdr:colOff>482868</xdr:colOff>
      <xdr:row>43</xdr:row>
      <xdr:rowOff>92927</xdr:rowOff>
    </xdr:to>
    <xdr:sp macro="" textlink="">
      <xdr:nvSpPr>
        <xdr:cNvPr id="18" name="TextBox 17">
          <a:extLst>
            <a:ext uri="{FF2B5EF4-FFF2-40B4-BE49-F238E27FC236}">
              <a16:creationId xmlns:a16="http://schemas.microsoft.com/office/drawing/2014/main" id="{D36CE815-9D63-E3D2-AB2C-503DFB518EA5}"/>
            </a:ext>
          </a:extLst>
        </xdr:cNvPr>
        <xdr:cNvSpPr txBox="1"/>
      </xdr:nvSpPr>
      <xdr:spPr>
        <a:xfrm>
          <a:off x="11479443" y="4970010"/>
          <a:ext cx="9856205" cy="3114624"/>
        </a:xfrm>
        <a:prstGeom prst="rect">
          <a:avLst/>
        </a:prstGeom>
        <a:ln/>
      </xdr:spPr>
      <xdr:style>
        <a:lnRef idx="1">
          <a:schemeClr val="dk1"/>
        </a:lnRef>
        <a:fillRef idx="3">
          <a:schemeClr val="dk1"/>
        </a:fillRef>
        <a:effectRef idx="2">
          <a:schemeClr val="dk1"/>
        </a:effectRef>
        <a:fontRef idx="minor">
          <a:schemeClr val="lt1"/>
        </a:fontRef>
      </xdr:style>
      <xdr:txBody>
        <a:bodyPr vertOverflow="clip" horzOverflow="clip" wrap="square" rtlCol="0" anchor="t"/>
        <a:lstStyle/>
        <a:p>
          <a:r>
            <a:rPr lang="en-IN" sz="2000" b="1"/>
            <a:t>Instagram users</a:t>
          </a:r>
          <a:r>
            <a:rPr lang="en-IN" sz="2000"/>
            <a:t> show slightly higher sleep hours, while </a:t>
          </a:r>
          <a:r>
            <a:rPr lang="en-IN" sz="2000" b="1"/>
            <a:t>TikTok users</a:t>
          </a:r>
          <a:r>
            <a:rPr lang="en-IN" sz="2000"/>
            <a:t> have the lowest average sleep and lower daily usage balance.</a:t>
          </a:r>
        </a:p>
        <a:p>
          <a:endParaRPr lang="en-IN" sz="2000"/>
        </a:p>
        <a:p>
          <a:r>
            <a:rPr lang="en-IN" sz="2000"/>
            <a:t> </a:t>
          </a:r>
          <a:r>
            <a:rPr lang="en-IN" sz="2000" b="1"/>
            <a:t>Female students</a:t>
          </a:r>
          <a:r>
            <a:rPr lang="en-IN" sz="2000"/>
            <a:t> have marginally higher sleep hours and social media use compared to males. </a:t>
          </a:r>
          <a:r>
            <a:rPr lang="en-IN" sz="2000" b="1"/>
            <a:t>Anxiety levels</a:t>
          </a:r>
          <a:r>
            <a:rPr lang="en-IN" sz="2000"/>
            <a:t> appear slightly higher among females than males. </a:t>
          </a:r>
          <a:br>
            <a:rPr lang="en-IN" sz="2000"/>
          </a:br>
          <a:br>
            <a:rPr lang="en-IN" sz="2000"/>
          </a:br>
          <a:r>
            <a:rPr lang="en-IN" sz="2000"/>
            <a:t>Students with </a:t>
          </a:r>
          <a:r>
            <a:rPr lang="en-IN" sz="2000" b="1"/>
            <a:t>medium social interaction</a:t>
          </a:r>
          <a:r>
            <a:rPr lang="en-IN" sz="2000"/>
            <a:t> show the </a:t>
          </a:r>
          <a:r>
            <a:rPr lang="en-IN" sz="2000" b="1"/>
            <a:t>highest academic performance</a:t>
          </a:r>
          <a:r>
            <a:rPr lang="en-IN" sz="2000"/>
            <a:t>, suggesting balanced social engagement may support better outcomes.</a:t>
          </a:r>
        </a:p>
      </xdr:txBody>
    </xdr:sp>
    <xdr:clientData/>
  </xdr:twoCellAnchor>
  <xdr:twoCellAnchor editAs="oneCell">
    <xdr:from>
      <xdr:col>4</xdr:col>
      <xdr:colOff>266156</xdr:colOff>
      <xdr:row>45</xdr:row>
      <xdr:rowOff>153940</xdr:rowOff>
    </xdr:from>
    <xdr:to>
      <xdr:col>9</xdr:col>
      <xdr:colOff>408878</xdr:colOff>
      <xdr:row>59</xdr:row>
      <xdr:rowOff>4236</xdr:rowOff>
    </xdr:to>
    <mc:AlternateContent xmlns:mc="http://schemas.openxmlformats.org/markup-compatibility/2006">
      <mc:Choice xmlns:a14="http://schemas.microsoft.com/office/drawing/2010/main" Requires="a14">
        <xdr:graphicFrame macro="">
          <xdr:nvGraphicFramePr>
            <xdr:cNvPr id="19" name="Platform_Usage 1">
              <a:extLst>
                <a:ext uri="{FF2B5EF4-FFF2-40B4-BE49-F238E27FC236}">
                  <a16:creationId xmlns:a16="http://schemas.microsoft.com/office/drawing/2014/main" id="{BC3919B4-AA73-4029-85D1-B9628621B108}"/>
                </a:ext>
              </a:extLst>
            </xdr:cNvPr>
            <xdr:cNvGraphicFramePr/>
          </xdr:nvGraphicFramePr>
          <xdr:xfrm>
            <a:off x="0" y="0"/>
            <a:ext cx="0" cy="0"/>
          </xdr:xfrm>
          <a:graphic>
            <a:graphicData uri="http://schemas.microsoft.com/office/drawing/2010/slicer">
              <sle:slicer xmlns:sle="http://schemas.microsoft.com/office/drawing/2010/slicer" name="Platform_Usage 1"/>
            </a:graphicData>
          </a:graphic>
        </xdr:graphicFrame>
      </mc:Choice>
      <mc:Fallback>
        <xdr:sp macro="" textlink="">
          <xdr:nvSpPr>
            <xdr:cNvPr id="0" name=""/>
            <xdr:cNvSpPr>
              <a:spLocks noTextEdit="1"/>
            </xdr:cNvSpPr>
          </xdr:nvSpPr>
          <xdr:spPr>
            <a:xfrm>
              <a:off x="2719424" y="8517355"/>
              <a:ext cx="3209308" cy="2452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433777</xdr:colOff>
      <xdr:row>46</xdr:row>
      <xdr:rowOff>65925</xdr:rowOff>
    </xdr:from>
    <xdr:to>
      <xdr:col>25</xdr:col>
      <xdr:colOff>130097</xdr:colOff>
      <xdr:row>59</xdr:row>
      <xdr:rowOff>103126</xdr:rowOff>
    </xdr:to>
    <mc:AlternateContent xmlns:mc="http://schemas.openxmlformats.org/markup-compatibility/2006">
      <mc:Choice xmlns:a14="http://schemas.microsoft.com/office/drawing/2010/main" Requires="a14">
        <xdr:graphicFrame macro="">
          <xdr:nvGraphicFramePr>
            <xdr:cNvPr id="20" name="Gender 1">
              <a:extLst>
                <a:ext uri="{FF2B5EF4-FFF2-40B4-BE49-F238E27FC236}">
                  <a16:creationId xmlns:a16="http://schemas.microsoft.com/office/drawing/2014/main" id="{19B74BD1-8521-4C84-9106-A8333037D8D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086801" y="8615193"/>
              <a:ext cx="3376223" cy="2453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137.437246759262" createdVersion="8" refreshedVersion="8" minRefreshableVersion="3" recordCount="201" xr:uid="{3A23E425-BB88-4E50-9C3F-E03B3FB6364E}">
  <cacheSource type="worksheet">
    <worksheetSource ref="A1:AB1048576" sheet="Ahmed_ExcelDashboard"/>
  </cacheSource>
  <cacheFields count="28">
    <cacheField name="Age" numFmtId="0">
      <sharedItems containsString="0" containsBlank="1" containsNumber="1" containsInteger="1" minValue="13" maxValue="19"/>
    </cacheField>
    <cacheField name="Gender" numFmtId="0">
      <sharedItems containsBlank="1" count="3">
        <s v="male"/>
        <s v="female"/>
        <m/>
      </sharedItems>
    </cacheField>
    <cacheField name="Daily_Social_Media_Hours" numFmtId="0">
      <sharedItems containsString="0" containsBlank="1" containsNumber="1" minValue="1.1000000000000001" maxValue="8"/>
    </cacheField>
    <cacheField name="Platform_Usage" numFmtId="0">
      <sharedItems containsBlank="1" count="4">
        <s v="Instagram"/>
        <s v="TikTok"/>
        <s v="Both"/>
        <m/>
      </sharedItems>
    </cacheField>
    <cacheField name="Sleep_Hours" numFmtId="0">
      <sharedItems containsString="0" containsBlank="1" containsNumber="1" minValue="4" maxValue="9"/>
    </cacheField>
    <cacheField name="Screen_Time_Before_Sleep" numFmtId="0">
      <sharedItems containsString="0" containsBlank="1" containsNumber="1" minValue="0.5" maxValue="3"/>
    </cacheField>
    <cacheField name="Academic_Performance" numFmtId="0">
      <sharedItems containsString="0" containsBlank="1" containsNumber="1" minValue="2.0099999999999998" maxValue="4"/>
    </cacheField>
    <cacheField name="Physical_Activity" numFmtId="0">
      <sharedItems containsString="0" containsBlank="1" containsNumber="1" minValue="0" maxValue="2"/>
    </cacheField>
    <cacheField name="Social_Interaction_Level" numFmtId="0">
      <sharedItems containsBlank="1" count="4">
        <s v="low"/>
        <s v="high"/>
        <s v="medium"/>
        <m/>
      </sharedItems>
    </cacheField>
    <cacheField name="Stress_Level" numFmtId="0">
      <sharedItems containsString="0" containsBlank="1" containsNumber="1" containsInteger="1" minValue="1" maxValue="10"/>
    </cacheField>
    <cacheField name="Anxiety_Level" numFmtId="0">
      <sharedItems containsString="0" containsBlank="1" containsNumber="1" containsInteger="1" minValue="1" maxValue="10"/>
    </cacheField>
    <cacheField name="Addiction_Level" numFmtId="0">
      <sharedItems containsString="0" containsBlank="1" containsNumber="1" containsInteger="1" minValue="1" maxValue="10"/>
    </cacheField>
    <cacheField name="Field13" caption="Field13" numFmtId="0">
      <sharedItems containsNonDate="0" containsString="0" containsBlank="1"/>
    </cacheField>
    <cacheField name="Field14" caption="Field14" numFmtId="0">
      <sharedItems containsNonDate="0" containsString="0" containsBlank="1"/>
    </cacheField>
    <cacheField name="Field15" caption="Field15" numFmtId="0">
      <sharedItems containsNonDate="0" containsString="0" containsBlank="1"/>
    </cacheField>
    <cacheField name="Field16" caption="Field16" numFmtId="0">
      <sharedItems containsNonDate="0" containsString="0" containsBlank="1"/>
    </cacheField>
    <cacheField name="Field17" caption="Field17" numFmtId="0">
      <sharedItems containsNonDate="0" containsString="0" containsBlank="1"/>
    </cacheField>
    <cacheField name="Field18" caption="Field18" numFmtId="0">
      <sharedItems containsNonDate="0" containsString="0" containsBlank="1"/>
    </cacheField>
    <cacheField name="Field19" caption="Field19" numFmtId="0">
      <sharedItems containsNonDate="0" containsString="0" containsBlank="1"/>
    </cacheField>
    <cacheField name="Field20" caption="Field20" numFmtId="0">
      <sharedItems containsNonDate="0" containsString="0" containsBlank="1"/>
    </cacheField>
    <cacheField name="Field21" caption="Field21" numFmtId="0">
      <sharedItems containsNonDate="0" containsString="0" containsBlank="1"/>
    </cacheField>
    <cacheField name="Field22" caption="Field22" numFmtId="0">
      <sharedItems containsNonDate="0" containsString="0" containsBlank="1"/>
    </cacheField>
    <cacheField name="Field23" caption="Field23" numFmtId="0">
      <sharedItems containsNonDate="0" containsString="0" containsBlank="1"/>
    </cacheField>
    <cacheField name="Field24" caption="Field24" numFmtId="0">
      <sharedItems containsNonDate="0" containsString="0" containsBlank="1"/>
    </cacheField>
    <cacheField name="Field25" caption="Field25" numFmtId="0">
      <sharedItems containsNonDate="0" containsString="0" containsBlank="1"/>
    </cacheField>
    <cacheField name="Field26" caption="Field26" numFmtId="0">
      <sharedItems containsNonDate="0" containsString="0" containsBlank="1"/>
    </cacheField>
    <cacheField name="Field27" caption="Field27" numFmtId="0">
      <sharedItems containsNonDate="0" containsString="0" containsBlank="1"/>
    </cacheField>
    <cacheField name="Field28" caption="Field28" numFmtId="0">
      <sharedItems containsNonDate="0" containsString="0" containsBlank="1"/>
    </cacheField>
  </cacheFields>
  <extLst>
    <ext xmlns:x14="http://schemas.microsoft.com/office/spreadsheetml/2009/9/main" uri="{725AE2AE-9491-48be-B2B4-4EB974FC3084}">
      <x14:pivotCacheDefinition pivotCacheId="2437498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n v="14"/>
    <x v="0"/>
    <n v="7.9"/>
    <x v="0"/>
    <n v="7.4"/>
    <n v="2.9"/>
    <n v="3.01"/>
    <n v="1.5"/>
    <x v="0"/>
    <n v="2"/>
    <n v="2"/>
    <n v="1"/>
    <m/>
    <m/>
    <m/>
    <m/>
    <m/>
    <m/>
    <m/>
    <m/>
    <m/>
    <m/>
    <m/>
    <m/>
    <m/>
    <m/>
    <m/>
    <m/>
  </r>
  <r>
    <n v="19"/>
    <x v="1"/>
    <n v="1.9"/>
    <x v="1"/>
    <n v="8"/>
    <n v="2.9"/>
    <n v="3.22"/>
    <n v="0.8"/>
    <x v="1"/>
    <n v="8"/>
    <n v="1"/>
    <n v="10"/>
    <m/>
    <m/>
    <m/>
    <m/>
    <m/>
    <m/>
    <m/>
    <m/>
    <m/>
    <m/>
    <m/>
    <m/>
    <m/>
    <m/>
    <m/>
    <m/>
  </r>
  <r>
    <n v="17"/>
    <x v="1"/>
    <n v="1.3"/>
    <x v="0"/>
    <n v="7.6"/>
    <n v="0.5"/>
    <n v="3.92"/>
    <n v="0"/>
    <x v="1"/>
    <n v="2"/>
    <n v="4"/>
    <n v="2"/>
    <m/>
    <m/>
    <m/>
    <m/>
    <m/>
    <m/>
    <m/>
    <m/>
    <m/>
    <m/>
    <m/>
    <m/>
    <m/>
    <m/>
    <m/>
    <m/>
  </r>
  <r>
    <n v="15"/>
    <x v="0"/>
    <n v="7.4"/>
    <x v="1"/>
    <n v="6.9"/>
    <n v="1.6"/>
    <n v="3.48"/>
    <n v="0.8"/>
    <x v="2"/>
    <n v="1"/>
    <n v="7"/>
    <n v="9"/>
    <m/>
    <m/>
    <m/>
    <m/>
    <m/>
    <m/>
    <m/>
    <m/>
    <m/>
    <m/>
    <m/>
    <m/>
    <m/>
    <m/>
    <m/>
    <m/>
  </r>
  <r>
    <n v="15"/>
    <x v="1"/>
    <n v="4.7"/>
    <x v="2"/>
    <n v="4.9000000000000004"/>
    <n v="3"/>
    <n v="2.37"/>
    <n v="1.4"/>
    <x v="2"/>
    <n v="3"/>
    <n v="5"/>
    <n v="2"/>
    <m/>
    <m/>
    <m/>
    <m/>
    <m/>
    <m/>
    <m/>
    <m/>
    <m/>
    <m/>
    <m/>
    <m/>
    <m/>
    <m/>
    <m/>
    <m/>
  </r>
  <r>
    <n v="19"/>
    <x v="1"/>
    <n v="7.4"/>
    <x v="2"/>
    <n v="4.4000000000000004"/>
    <n v="2.4"/>
    <n v="2.63"/>
    <n v="0.6"/>
    <x v="1"/>
    <n v="3"/>
    <n v="5"/>
    <n v="7"/>
    <m/>
    <m/>
    <m/>
    <m/>
    <m/>
    <m/>
    <m/>
    <m/>
    <m/>
    <m/>
    <m/>
    <m/>
    <m/>
    <m/>
    <m/>
    <m/>
  </r>
  <r>
    <n v="18"/>
    <x v="1"/>
    <n v="2.5"/>
    <x v="0"/>
    <n v="6.4"/>
    <n v="2.4"/>
    <n v="2.63"/>
    <n v="0.7"/>
    <x v="0"/>
    <n v="2"/>
    <n v="2"/>
    <n v="5"/>
    <m/>
    <m/>
    <m/>
    <m/>
    <m/>
    <m/>
    <m/>
    <m/>
    <m/>
    <m/>
    <m/>
    <m/>
    <m/>
    <m/>
    <m/>
    <m/>
  </r>
  <r>
    <n v="16"/>
    <x v="0"/>
    <n v="4"/>
    <x v="2"/>
    <n v="4.2"/>
    <n v="0.5"/>
    <n v="2.4"/>
    <n v="1.3"/>
    <x v="0"/>
    <n v="6"/>
    <n v="10"/>
    <n v="5"/>
    <m/>
    <m/>
    <m/>
    <m/>
    <m/>
    <m/>
    <m/>
    <m/>
    <m/>
    <m/>
    <m/>
    <m/>
    <m/>
    <m/>
    <m/>
    <m/>
  </r>
  <r>
    <n v="19"/>
    <x v="1"/>
    <n v="3.3"/>
    <x v="1"/>
    <n v="5"/>
    <n v="2.1"/>
    <n v="2.04"/>
    <n v="0.9"/>
    <x v="1"/>
    <n v="1"/>
    <n v="10"/>
    <n v="9"/>
    <m/>
    <m/>
    <m/>
    <m/>
    <m/>
    <m/>
    <m/>
    <m/>
    <m/>
    <m/>
    <m/>
    <m/>
    <m/>
    <m/>
    <m/>
    <m/>
  </r>
  <r>
    <n v="15"/>
    <x v="0"/>
    <n v="1.9"/>
    <x v="1"/>
    <n v="4.9000000000000004"/>
    <n v="1.5"/>
    <n v="3.77"/>
    <n v="1.1000000000000001"/>
    <x v="1"/>
    <n v="1"/>
    <n v="1"/>
    <n v="4"/>
    <m/>
    <m/>
    <m/>
    <m/>
    <m/>
    <m/>
    <m/>
    <m/>
    <m/>
    <m/>
    <m/>
    <m/>
    <m/>
    <m/>
    <m/>
    <m/>
  </r>
  <r>
    <n v="16"/>
    <x v="0"/>
    <n v="7.2"/>
    <x v="2"/>
    <n v="5.8"/>
    <n v="2.9"/>
    <n v="3.16"/>
    <n v="1.2"/>
    <x v="2"/>
    <n v="5"/>
    <n v="8"/>
    <n v="9"/>
    <m/>
    <m/>
    <m/>
    <m/>
    <m/>
    <m/>
    <m/>
    <m/>
    <m/>
    <m/>
    <m/>
    <m/>
    <m/>
    <m/>
    <m/>
    <m/>
  </r>
  <r>
    <n v="13"/>
    <x v="0"/>
    <n v="4.9000000000000004"/>
    <x v="0"/>
    <n v="4.7"/>
    <n v="2.5"/>
    <n v="3.92"/>
    <n v="1.2"/>
    <x v="0"/>
    <n v="1"/>
    <n v="10"/>
    <n v="8"/>
    <m/>
    <m/>
    <m/>
    <m/>
    <m/>
    <m/>
    <m/>
    <m/>
    <m/>
    <m/>
    <m/>
    <m/>
    <m/>
    <m/>
    <m/>
    <m/>
  </r>
  <r>
    <n v="16"/>
    <x v="0"/>
    <n v="6.2"/>
    <x v="2"/>
    <n v="7.2"/>
    <n v="2.6"/>
    <n v="2.02"/>
    <n v="1.7"/>
    <x v="2"/>
    <n v="5"/>
    <n v="7"/>
    <n v="6"/>
    <m/>
    <m/>
    <m/>
    <m/>
    <m/>
    <m/>
    <m/>
    <m/>
    <m/>
    <m/>
    <m/>
    <m/>
    <m/>
    <m/>
    <m/>
    <m/>
  </r>
  <r>
    <n v="17"/>
    <x v="1"/>
    <n v="6.8"/>
    <x v="1"/>
    <n v="5.7"/>
    <n v="1.1000000000000001"/>
    <n v="3.29"/>
    <n v="1.3"/>
    <x v="2"/>
    <n v="1"/>
    <n v="10"/>
    <n v="10"/>
    <m/>
    <m/>
    <m/>
    <m/>
    <m/>
    <m/>
    <m/>
    <m/>
    <m/>
    <m/>
    <m/>
    <m/>
    <m/>
    <m/>
    <m/>
    <m/>
  </r>
  <r>
    <n v="15"/>
    <x v="0"/>
    <n v="5.7"/>
    <x v="1"/>
    <n v="5.9"/>
    <n v="0.8"/>
    <n v="3.5"/>
    <n v="0.7"/>
    <x v="0"/>
    <n v="1"/>
    <n v="9"/>
    <n v="1"/>
    <m/>
    <m/>
    <m/>
    <m/>
    <m/>
    <m/>
    <m/>
    <m/>
    <m/>
    <m/>
    <m/>
    <m/>
    <m/>
    <m/>
    <m/>
    <m/>
  </r>
  <r>
    <n v="14"/>
    <x v="1"/>
    <n v="3.6"/>
    <x v="2"/>
    <n v="5.3"/>
    <n v="0.6"/>
    <n v="2.99"/>
    <n v="0.3"/>
    <x v="1"/>
    <n v="4"/>
    <n v="10"/>
    <n v="2"/>
    <m/>
    <m/>
    <m/>
    <m/>
    <m/>
    <m/>
    <m/>
    <m/>
    <m/>
    <m/>
    <m/>
    <m/>
    <m/>
    <m/>
    <m/>
    <m/>
  </r>
  <r>
    <n v="13"/>
    <x v="0"/>
    <n v="1.5"/>
    <x v="2"/>
    <n v="4.2"/>
    <n v="1.4"/>
    <n v="2.59"/>
    <n v="0.5"/>
    <x v="1"/>
    <n v="4"/>
    <n v="5"/>
    <n v="8"/>
    <m/>
    <m/>
    <m/>
    <m/>
    <m/>
    <m/>
    <m/>
    <m/>
    <m/>
    <m/>
    <m/>
    <m/>
    <m/>
    <m/>
    <m/>
    <m/>
  </r>
  <r>
    <n v="16"/>
    <x v="0"/>
    <n v="3.1"/>
    <x v="2"/>
    <n v="6.1"/>
    <n v="0.8"/>
    <n v="2.11"/>
    <n v="1.9"/>
    <x v="1"/>
    <n v="10"/>
    <n v="7"/>
    <n v="10"/>
    <m/>
    <m/>
    <m/>
    <m/>
    <m/>
    <m/>
    <m/>
    <m/>
    <m/>
    <m/>
    <m/>
    <m/>
    <m/>
    <m/>
    <m/>
    <m/>
  </r>
  <r>
    <n v="16"/>
    <x v="1"/>
    <n v="6.7"/>
    <x v="2"/>
    <n v="6.8"/>
    <n v="1.9"/>
    <n v="3.08"/>
    <n v="1.4"/>
    <x v="1"/>
    <n v="10"/>
    <n v="9"/>
    <n v="1"/>
    <m/>
    <m/>
    <m/>
    <m/>
    <m/>
    <m/>
    <m/>
    <m/>
    <m/>
    <m/>
    <m/>
    <m/>
    <m/>
    <m/>
    <m/>
    <m/>
  </r>
  <r>
    <n v="14"/>
    <x v="1"/>
    <n v="1.2"/>
    <x v="0"/>
    <n v="7.6"/>
    <n v="1"/>
    <n v="3.85"/>
    <n v="0.8"/>
    <x v="1"/>
    <n v="8"/>
    <n v="4"/>
    <n v="6"/>
    <m/>
    <m/>
    <m/>
    <m/>
    <m/>
    <m/>
    <m/>
    <m/>
    <m/>
    <m/>
    <m/>
    <m/>
    <m/>
    <m/>
    <m/>
    <m/>
  </r>
  <r>
    <n v="16"/>
    <x v="0"/>
    <n v="3.4"/>
    <x v="1"/>
    <n v="4.5999999999999996"/>
    <n v="2.1"/>
    <n v="2.2400000000000002"/>
    <n v="0.4"/>
    <x v="1"/>
    <n v="4"/>
    <n v="1"/>
    <n v="3"/>
    <m/>
    <m/>
    <m/>
    <m/>
    <m/>
    <m/>
    <m/>
    <m/>
    <m/>
    <m/>
    <m/>
    <m/>
    <m/>
    <m/>
    <m/>
    <m/>
  </r>
  <r>
    <n v="18"/>
    <x v="0"/>
    <n v="4.0999999999999996"/>
    <x v="2"/>
    <n v="7.4"/>
    <n v="2.4"/>
    <n v="2.38"/>
    <n v="1.5"/>
    <x v="2"/>
    <n v="8"/>
    <n v="4"/>
    <n v="9"/>
    <m/>
    <m/>
    <m/>
    <m/>
    <m/>
    <m/>
    <m/>
    <m/>
    <m/>
    <m/>
    <m/>
    <m/>
    <m/>
    <m/>
    <m/>
    <m/>
  </r>
  <r>
    <n v="18"/>
    <x v="0"/>
    <n v="5.3"/>
    <x v="0"/>
    <n v="4.9000000000000004"/>
    <n v="1.2"/>
    <n v="3.69"/>
    <n v="1.2"/>
    <x v="0"/>
    <n v="5"/>
    <n v="4"/>
    <n v="5"/>
    <m/>
    <m/>
    <m/>
    <m/>
    <m/>
    <m/>
    <m/>
    <m/>
    <m/>
    <m/>
    <m/>
    <m/>
    <m/>
    <m/>
    <m/>
    <m/>
  </r>
  <r>
    <n v="18"/>
    <x v="1"/>
    <n v="2.2999999999999998"/>
    <x v="1"/>
    <n v="7.6"/>
    <n v="0.5"/>
    <n v="2.96"/>
    <n v="1.7"/>
    <x v="2"/>
    <n v="9"/>
    <n v="8"/>
    <n v="7"/>
    <m/>
    <m/>
    <m/>
    <m/>
    <m/>
    <m/>
    <m/>
    <m/>
    <m/>
    <m/>
    <m/>
    <m/>
    <m/>
    <m/>
    <m/>
    <m/>
  </r>
  <r>
    <n v="18"/>
    <x v="1"/>
    <n v="2.4"/>
    <x v="2"/>
    <n v="6.7"/>
    <n v="1.9"/>
    <n v="2.5299999999999998"/>
    <n v="0.4"/>
    <x v="1"/>
    <n v="8"/>
    <n v="8"/>
    <n v="2"/>
    <m/>
    <m/>
    <m/>
    <m/>
    <m/>
    <m/>
    <m/>
    <m/>
    <m/>
    <m/>
    <m/>
    <m/>
    <m/>
    <m/>
    <m/>
    <m/>
  </r>
  <r>
    <n v="13"/>
    <x v="1"/>
    <n v="1.5"/>
    <x v="2"/>
    <n v="7.2"/>
    <n v="2.5"/>
    <n v="2.15"/>
    <n v="1.3"/>
    <x v="2"/>
    <n v="4"/>
    <n v="6"/>
    <n v="2"/>
    <m/>
    <m/>
    <m/>
    <m/>
    <m/>
    <m/>
    <m/>
    <m/>
    <m/>
    <m/>
    <m/>
    <m/>
    <m/>
    <m/>
    <m/>
    <m/>
  </r>
  <r>
    <n v="14"/>
    <x v="1"/>
    <n v="5.7"/>
    <x v="2"/>
    <n v="8.6999999999999993"/>
    <n v="0.6"/>
    <n v="2.64"/>
    <n v="0.1"/>
    <x v="0"/>
    <n v="8"/>
    <n v="9"/>
    <n v="4"/>
    <m/>
    <m/>
    <m/>
    <m/>
    <m/>
    <m/>
    <m/>
    <m/>
    <m/>
    <m/>
    <m/>
    <m/>
    <m/>
    <m/>
    <m/>
    <m/>
  </r>
  <r>
    <n v="19"/>
    <x v="0"/>
    <n v="2"/>
    <x v="1"/>
    <n v="7.1"/>
    <n v="0.9"/>
    <n v="3.26"/>
    <n v="1.6"/>
    <x v="1"/>
    <n v="7"/>
    <n v="5"/>
    <n v="9"/>
    <m/>
    <m/>
    <m/>
    <m/>
    <m/>
    <m/>
    <m/>
    <m/>
    <m/>
    <m/>
    <m/>
    <m/>
    <m/>
    <m/>
    <m/>
    <m/>
  </r>
  <r>
    <n v="14"/>
    <x v="0"/>
    <n v="2.5"/>
    <x v="1"/>
    <n v="5.6"/>
    <n v="2.9"/>
    <n v="2.2400000000000002"/>
    <n v="0.5"/>
    <x v="0"/>
    <n v="3"/>
    <n v="9"/>
    <n v="5"/>
    <m/>
    <m/>
    <m/>
    <m/>
    <m/>
    <m/>
    <m/>
    <m/>
    <m/>
    <m/>
    <m/>
    <m/>
    <m/>
    <m/>
    <m/>
    <m/>
  </r>
  <r>
    <n v="16"/>
    <x v="1"/>
    <n v="3.4"/>
    <x v="1"/>
    <n v="7.8"/>
    <n v="2.8"/>
    <n v="3.83"/>
    <n v="1.8"/>
    <x v="2"/>
    <n v="6"/>
    <n v="6"/>
    <n v="4"/>
    <m/>
    <m/>
    <m/>
    <m/>
    <m/>
    <m/>
    <m/>
    <m/>
    <m/>
    <m/>
    <m/>
    <m/>
    <m/>
    <m/>
    <m/>
    <m/>
  </r>
  <r>
    <n v="13"/>
    <x v="0"/>
    <n v="6.6"/>
    <x v="1"/>
    <n v="5.7"/>
    <n v="2.5"/>
    <n v="2.67"/>
    <n v="1.1000000000000001"/>
    <x v="0"/>
    <n v="2"/>
    <n v="1"/>
    <n v="10"/>
    <m/>
    <m/>
    <m/>
    <m/>
    <m/>
    <m/>
    <m/>
    <m/>
    <m/>
    <m/>
    <m/>
    <m/>
    <m/>
    <m/>
    <m/>
    <m/>
  </r>
  <r>
    <n v="13"/>
    <x v="1"/>
    <n v="1.6"/>
    <x v="0"/>
    <n v="8.6999999999999993"/>
    <n v="2.5"/>
    <n v="3.69"/>
    <n v="0.4"/>
    <x v="1"/>
    <n v="8"/>
    <n v="2"/>
    <n v="9"/>
    <m/>
    <m/>
    <m/>
    <m/>
    <m/>
    <m/>
    <m/>
    <m/>
    <m/>
    <m/>
    <m/>
    <m/>
    <m/>
    <m/>
    <m/>
    <m/>
  </r>
  <r>
    <n v="16"/>
    <x v="0"/>
    <n v="2.7"/>
    <x v="0"/>
    <n v="4.2"/>
    <n v="2.4"/>
    <n v="3.05"/>
    <n v="0.2"/>
    <x v="1"/>
    <n v="1"/>
    <n v="8"/>
    <n v="4"/>
    <m/>
    <m/>
    <m/>
    <m/>
    <m/>
    <m/>
    <m/>
    <m/>
    <m/>
    <m/>
    <m/>
    <m/>
    <m/>
    <m/>
    <m/>
    <m/>
  </r>
  <r>
    <n v="14"/>
    <x v="0"/>
    <n v="4.0999999999999996"/>
    <x v="1"/>
    <n v="8"/>
    <n v="3"/>
    <n v="2.31"/>
    <n v="0.8"/>
    <x v="0"/>
    <n v="8"/>
    <n v="4"/>
    <n v="1"/>
    <m/>
    <m/>
    <m/>
    <m/>
    <m/>
    <m/>
    <m/>
    <m/>
    <m/>
    <m/>
    <m/>
    <m/>
    <m/>
    <m/>
    <m/>
    <m/>
  </r>
  <r>
    <n v="13"/>
    <x v="1"/>
    <n v="6.6"/>
    <x v="1"/>
    <n v="7.3"/>
    <n v="1.6"/>
    <n v="3.27"/>
    <n v="0.1"/>
    <x v="2"/>
    <n v="10"/>
    <n v="2"/>
    <n v="1"/>
    <m/>
    <m/>
    <m/>
    <m/>
    <m/>
    <m/>
    <m/>
    <m/>
    <m/>
    <m/>
    <m/>
    <m/>
    <m/>
    <m/>
    <m/>
    <m/>
  </r>
  <r>
    <n v="17"/>
    <x v="1"/>
    <n v="5"/>
    <x v="2"/>
    <n v="4.9000000000000004"/>
    <n v="2.1"/>
    <n v="2.0099999999999998"/>
    <n v="1"/>
    <x v="0"/>
    <n v="9"/>
    <n v="4"/>
    <n v="9"/>
    <m/>
    <m/>
    <m/>
    <m/>
    <m/>
    <m/>
    <m/>
    <m/>
    <m/>
    <m/>
    <m/>
    <m/>
    <m/>
    <m/>
    <m/>
    <m/>
  </r>
  <r>
    <n v="19"/>
    <x v="1"/>
    <n v="4.5999999999999996"/>
    <x v="0"/>
    <n v="5.5"/>
    <n v="2.5"/>
    <n v="3.96"/>
    <n v="0.8"/>
    <x v="1"/>
    <n v="3"/>
    <n v="10"/>
    <n v="7"/>
    <m/>
    <m/>
    <m/>
    <m/>
    <m/>
    <m/>
    <m/>
    <m/>
    <m/>
    <m/>
    <m/>
    <m/>
    <m/>
    <m/>
    <m/>
    <m/>
  </r>
  <r>
    <n v="17"/>
    <x v="1"/>
    <n v="4.8"/>
    <x v="0"/>
    <n v="4.4000000000000004"/>
    <n v="1.3"/>
    <n v="2.02"/>
    <n v="0.5"/>
    <x v="0"/>
    <n v="5"/>
    <n v="10"/>
    <n v="6"/>
    <m/>
    <m/>
    <m/>
    <m/>
    <m/>
    <m/>
    <m/>
    <m/>
    <m/>
    <m/>
    <m/>
    <m/>
    <m/>
    <m/>
    <m/>
    <m/>
  </r>
  <r>
    <n v="17"/>
    <x v="1"/>
    <n v="1.3"/>
    <x v="1"/>
    <n v="8"/>
    <n v="2"/>
    <n v="2.84"/>
    <n v="1.8"/>
    <x v="1"/>
    <n v="1"/>
    <n v="7"/>
    <n v="8"/>
    <m/>
    <m/>
    <m/>
    <m/>
    <m/>
    <m/>
    <m/>
    <m/>
    <m/>
    <m/>
    <m/>
    <m/>
    <m/>
    <m/>
    <m/>
    <m/>
  </r>
  <r>
    <n v="17"/>
    <x v="1"/>
    <n v="6.3"/>
    <x v="0"/>
    <n v="4"/>
    <n v="1"/>
    <n v="2.4300000000000002"/>
    <n v="1.2"/>
    <x v="1"/>
    <n v="1"/>
    <n v="10"/>
    <n v="9"/>
    <m/>
    <m/>
    <m/>
    <m/>
    <m/>
    <m/>
    <m/>
    <m/>
    <m/>
    <m/>
    <m/>
    <m/>
    <m/>
    <m/>
    <m/>
    <m/>
  </r>
  <r>
    <n v="14"/>
    <x v="0"/>
    <n v="6.4"/>
    <x v="0"/>
    <n v="5.7"/>
    <n v="0.9"/>
    <n v="2.06"/>
    <n v="1.8"/>
    <x v="1"/>
    <n v="10"/>
    <n v="4"/>
    <n v="2"/>
    <m/>
    <m/>
    <m/>
    <m/>
    <m/>
    <m/>
    <m/>
    <m/>
    <m/>
    <m/>
    <m/>
    <m/>
    <m/>
    <m/>
    <m/>
    <m/>
  </r>
  <r>
    <n v="19"/>
    <x v="0"/>
    <n v="1.6"/>
    <x v="0"/>
    <n v="8.6"/>
    <n v="2.4"/>
    <n v="3.81"/>
    <n v="0.4"/>
    <x v="0"/>
    <n v="10"/>
    <n v="4"/>
    <n v="1"/>
    <m/>
    <m/>
    <m/>
    <m/>
    <m/>
    <m/>
    <m/>
    <m/>
    <m/>
    <m/>
    <m/>
    <m/>
    <m/>
    <m/>
    <m/>
    <m/>
  </r>
  <r>
    <n v="14"/>
    <x v="1"/>
    <n v="7.3"/>
    <x v="0"/>
    <n v="7.7"/>
    <n v="1.4"/>
    <n v="3.42"/>
    <n v="0.3"/>
    <x v="2"/>
    <n v="6"/>
    <n v="1"/>
    <n v="8"/>
    <m/>
    <m/>
    <m/>
    <m/>
    <m/>
    <m/>
    <m/>
    <m/>
    <m/>
    <m/>
    <m/>
    <m/>
    <m/>
    <m/>
    <m/>
    <m/>
  </r>
  <r>
    <n v="15"/>
    <x v="0"/>
    <n v="4"/>
    <x v="2"/>
    <n v="8.8000000000000007"/>
    <n v="1.3"/>
    <n v="3.59"/>
    <n v="1.9"/>
    <x v="2"/>
    <n v="10"/>
    <n v="6"/>
    <n v="10"/>
    <m/>
    <m/>
    <m/>
    <m/>
    <m/>
    <m/>
    <m/>
    <m/>
    <m/>
    <m/>
    <m/>
    <m/>
    <m/>
    <m/>
    <m/>
    <m/>
  </r>
  <r>
    <n v="14"/>
    <x v="0"/>
    <n v="5.2"/>
    <x v="2"/>
    <n v="4.0999999999999996"/>
    <n v="2.1"/>
    <n v="3.07"/>
    <n v="0.2"/>
    <x v="2"/>
    <n v="9"/>
    <n v="3"/>
    <n v="8"/>
    <m/>
    <m/>
    <m/>
    <m/>
    <m/>
    <m/>
    <m/>
    <m/>
    <m/>
    <m/>
    <m/>
    <m/>
    <m/>
    <m/>
    <m/>
    <m/>
  </r>
  <r>
    <n v="14"/>
    <x v="1"/>
    <n v="4.5"/>
    <x v="1"/>
    <n v="4.8"/>
    <n v="0.9"/>
    <n v="2.2200000000000002"/>
    <n v="0.8"/>
    <x v="0"/>
    <n v="1"/>
    <n v="4"/>
    <n v="10"/>
    <m/>
    <m/>
    <m/>
    <m/>
    <m/>
    <m/>
    <m/>
    <m/>
    <m/>
    <m/>
    <m/>
    <m/>
    <m/>
    <m/>
    <m/>
    <m/>
  </r>
  <r>
    <n v="18"/>
    <x v="0"/>
    <n v="6.8"/>
    <x v="1"/>
    <n v="8.6"/>
    <n v="1.1000000000000001"/>
    <n v="2.36"/>
    <n v="1.6"/>
    <x v="1"/>
    <n v="1"/>
    <n v="10"/>
    <n v="10"/>
    <m/>
    <m/>
    <m/>
    <m/>
    <m/>
    <m/>
    <m/>
    <m/>
    <m/>
    <m/>
    <m/>
    <m/>
    <m/>
    <m/>
    <m/>
    <m/>
  </r>
  <r>
    <n v="13"/>
    <x v="1"/>
    <n v="3.5"/>
    <x v="0"/>
    <n v="5.0999999999999996"/>
    <n v="1.1000000000000001"/>
    <n v="2.27"/>
    <n v="1.8"/>
    <x v="2"/>
    <n v="2"/>
    <n v="5"/>
    <n v="6"/>
    <m/>
    <m/>
    <m/>
    <m/>
    <m/>
    <m/>
    <m/>
    <m/>
    <m/>
    <m/>
    <m/>
    <m/>
    <m/>
    <m/>
    <m/>
    <m/>
  </r>
  <r>
    <n v="16"/>
    <x v="0"/>
    <n v="2.2999999999999998"/>
    <x v="1"/>
    <n v="6.3"/>
    <n v="3"/>
    <n v="3.24"/>
    <n v="1.9"/>
    <x v="2"/>
    <n v="4"/>
    <n v="4"/>
    <n v="9"/>
    <m/>
    <m/>
    <m/>
    <m/>
    <m/>
    <m/>
    <m/>
    <m/>
    <m/>
    <m/>
    <m/>
    <m/>
    <m/>
    <m/>
    <m/>
    <m/>
  </r>
  <r>
    <n v="14"/>
    <x v="0"/>
    <n v="1.2"/>
    <x v="0"/>
    <n v="8.5"/>
    <n v="1.8"/>
    <n v="3.65"/>
    <n v="1.8"/>
    <x v="1"/>
    <n v="5"/>
    <n v="10"/>
    <n v="10"/>
    <m/>
    <m/>
    <m/>
    <m/>
    <m/>
    <m/>
    <m/>
    <m/>
    <m/>
    <m/>
    <m/>
    <m/>
    <m/>
    <m/>
    <m/>
    <m/>
  </r>
  <r>
    <n v="13"/>
    <x v="0"/>
    <n v="6.2"/>
    <x v="2"/>
    <n v="7.1"/>
    <n v="2.2000000000000002"/>
    <n v="3.43"/>
    <n v="0.2"/>
    <x v="2"/>
    <n v="5"/>
    <n v="2"/>
    <n v="2"/>
    <m/>
    <m/>
    <m/>
    <m/>
    <m/>
    <m/>
    <m/>
    <m/>
    <m/>
    <m/>
    <m/>
    <m/>
    <m/>
    <m/>
    <m/>
    <m/>
  </r>
  <r>
    <n v="18"/>
    <x v="0"/>
    <n v="4.5"/>
    <x v="1"/>
    <n v="4.0999999999999996"/>
    <n v="1.9"/>
    <n v="3.42"/>
    <n v="0.1"/>
    <x v="2"/>
    <n v="6"/>
    <n v="7"/>
    <n v="8"/>
    <m/>
    <m/>
    <m/>
    <m/>
    <m/>
    <m/>
    <m/>
    <m/>
    <m/>
    <m/>
    <m/>
    <m/>
    <m/>
    <m/>
    <m/>
    <m/>
  </r>
  <r>
    <n v="18"/>
    <x v="0"/>
    <n v="2.9"/>
    <x v="0"/>
    <n v="4.5"/>
    <n v="2.5"/>
    <n v="3.16"/>
    <n v="1.3"/>
    <x v="0"/>
    <n v="3"/>
    <n v="7"/>
    <n v="8"/>
    <m/>
    <m/>
    <m/>
    <m/>
    <m/>
    <m/>
    <m/>
    <m/>
    <m/>
    <m/>
    <m/>
    <m/>
    <m/>
    <m/>
    <m/>
    <m/>
  </r>
  <r>
    <n v="13"/>
    <x v="1"/>
    <n v="5.8"/>
    <x v="1"/>
    <n v="8.5"/>
    <n v="2.2999999999999998"/>
    <n v="3.3"/>
    <n v="1.9"/>
    <x v="1"/>
    <n v="1"/>
    <n v="1"/>
    <n v="5"/>
    <m/>
    <m/>
    <m/>
    <m/>
    <m/>
    <m/>
    <m/>
    <m/>
    <m/>
    <m/>
    <m/>
    <m/>
    <m/>
    <m/>
    <m/>
    <m/>
  </r>
  <r>
    <n v="18"/>
    <x v="0"/>
    <n v="6.8"/>
    <x v="0"/>
    <n v="6.5"/>
    <n v="2.7"/>
    <n v="2.97"/>
    <n v="1.9"/>
    <x v="0"/>
    <n v="4"/>
    <n v="4"/>
    <n v="5"/>
    <m/>
    <m/>
    <m/>
    <m/>
    <m/>
    <m/>
    <m/>
    <m/>
    <m/>
    <m/>
    <m/>
    <m/>
    <m/>
    <m/>
    <m/>
    <m/>
  </r>
  <r>
    <n v="15"/>
    <x v="1"/>
    <n v="7.4"/>
    <x v="0"/>
    <n v="8.6"/>
    <n v="0.9"/>
    <n v="2.2999999999999998"/>
    <n v="0"/>
    <x v="0"/>
    <n v="1"/>
    <n v="5"/>
    <n v="3"/>
    <m/>
    <m/>
    <m/>
    <m/>
    <m/>
    <m/>
    <m/>
    <m/>
    <m/>
    <m/>
    <m/>
    <m/>
    <m/>
    <m/>
    <m/>
    <m/>
  </r>
  <r>
    <n v="18"/>
    <x v="0"/>
    <n v="4.5"/>
    <x v="1"/>
    <n v="5"/>
    <n v="2.5"/>
    <n v="2.65"/>
    <n v="0.7"/>
    <x v="2"/>
    <n v="8"/>
    <n v="9"/>
    <n v="1"/>
    <m/>
    <m/>
    <m/>
    <m/>
    <m/>
    <m/>
    <m/>
    <m/>
    <m/>
    <m/>
    <m/>
    <m/>
    <m/>
    <m/>
    <m/>
    <m/>
  </r>
  <r>
    <n v="16"/>
    <x v="0"/>
    <n v="6.4"/>
    <x v="1"/>
    <n v="5.3"/>
    <n v="2.4"/>
    <n v="2.0299999999999998"/>
    <n v="1.7"/>
    <x v="2"/>
    <n v="7"/>
    <n v="5"/>
    <n v="10"/>
    <m/>
    <m/>
    <m/>
    <m/>
    <m/>
    <m/>
    <m/>
    <m/>
    <m/>
    <m/>
    <m/>
    <m/>
    <m/>
    <m/>
    <m/>
    <m/>
  </r>
  <r>
    <n v="13"/>
    <x v="0"/>
    <n v="7.3"/>
    <x v="2"/>
    <n v="4.2"/>
    <n v="1.3"/>
    <n v="2.16"/>
    <n v="1"/>
    <x v="1"/>
    <n v="4"/>
    <n v="5"/>
    <n v="2"/>
    <m/>
    <m/>
    <m/>
    <m/>
    <m/>
    <m/>
    <m/>
    <m/>
    <m/>
    <m/>
    <m/>
    <m/>
    <m/>
    <m/>
    <m/>
    <m/>
  </r>
  <r>
    <n v="17"/>
    <x v="1"/>
    <n v="7.1"/>
    <x v="0"/>
    <n v="5.6"/>
    <n v="0.6"/>
    <n v="3.07"/>
    <n v="1"/>
    <x v="2"/>
    <n v="1"/>
    <n v="3"/>
    <n v="7"/>
    <m/>
    <m/>
    <m/>
    <m/>
    <m/>
    <m/>
    <m/>
    <m/>
    <m/>
    <m/>
    <m/>
    <m/>
    <m/>
    <m/>
    <m/>
    <m/>
  </r>
  <r>
    <n v="18"/>
    <x v="0"/>
    <n v="1.6"/>
    <x v="1"/>
    <n v="5.0999999999999996"/>
    <n v="2.7"/>
    <n v="3.57"/>
    <n v="0.8"/>
    <x v="1"/>
    <n v="3"/>
    <n v="9"/>
    <n v="7"/>
    <m/>
    <m/>
    <m/>
    <m/>
    <m/>
    <m/>
    <m/>
    <m/>
    <m/>
    <m/>
    <m/>
    <m/>
    <m/>
    <m/>
    <m/>
    <m/>
  </r>
  <r>
    <n v="15"/>
    <x v="1"/>
    <n v="1.5"/>
    <x v="0"/>
    <n v="4.7"/>
    <n v="1"/>
    <n v="3.82"/>
    <n v="0.6"/>
    <x v="2"/>
    <n v="6"/>
    <n v="1"/>
    <n v="4"/>
    <m/>
    <m/>
    <m/>
    <m/>
    <m/>
    <m/>
    <m/>
    <m/>
    <m/>
    <m/>
    <m/>
    <m/>
    <m/>
    <m/>
    <m/>
    <m/>
  </r>
  <r>
    <n v="13"/>
    <x v="0"/>
    <n v="4.3"/>
    <x v="2"/>
    <n v="5.8"/>
    <n v="0.7"/>
    <n v="3.15"/>
    <n v="0.1"/>
    <x v="2"/>
    <n v="7"/>
    <n v="2"/>
    <n v="1"/>
    <m/>
    <m/>
    <m/>
    <m/>
    <m/>
    <m/>
    <m/>
    <m/>
    <m/>
    <m/>
    <m/>
    <m/>
    <m/>
    <m/>
    <m/>
    <m/>
  </r>
  <r>
    <n v="17"/>
    <x v="0"/>
    <n v="2.5"/>
    <x v="2"/>
    <n v="6.7"/>
    <n v="2"/>
    <n v="2.56"/>
    <n v="1.7"/>
    <x v="1"/>
    <n v="5"/>
    <n v="7"/>
    <n v="5"/>
    <m/>
    <m/>
    <m/>
    <m/>
    <m/>
    <m/>
    <m/>
    <m/>
    <m/>
    <m/>
    <m/>
    <m/>
    <m/>
    <m/>
    <m/>
    <m/>
  </r>
  <r>
    <n v="19"/>
    <x v="1"/>
    <n v="7.9"/>
    <x v="1"/>
    <n v="5.0999999999999996"/>
    <n v="1.7"/>
    <n v="2.8"/>
    <n v="0.8"/>
    <x v="0"/>
    <n v="6"/>
    <n v="1"/>
    <n v="8"/>
    <m/>
    <m/>
    <m/>
    <m/>
    <m/>
    <m/>
    <m/>
    <m/>
    <m/>
    <m/>
    <m/>
    <m/>
    <m/>
    <m/>
    <m/>
    <m/>
  </r>
  <r>
    <n v="17"/>
    <x v="0"/>
    <n v="2.7"/>
    <x v="0"/>
    <n v="8"/>
    <n v="2.6"/>
    <n v="3.53"/>
    <n v="1.9"/>
    <x v="1"/>
    <n v="1"/>
    <n v="8"/>
    <n v="7"/>
    <m/>
    <m/>
    <m/>
    <m/>
    <m/>
    <m/>
    <m/>
    <m/>
    <m/>
    <m/>
    <m/>
    <m/>
    <m/>
    <m/>
    <m/>
    <m/>
  </r>
  <r>
    <n v="13"/>
    <x v="0"/>
    <n v="3.1"/>
    <x v="1"/>
    <n v="8.1999999999999993"/>
    <n v="1.5"/>
    <n v="2.4500000000000002"/>
    <n v="0.3"/>
    <x v="0"/>
    <n v="5"/>
    <n v="8"/>
    <n v="6"/>
    <m/>
    <m/>
    <m/>
    <m/>
    <m/>
    <m/>
    <m/>
    <m/>
    <m/>
    <m/>
    <m/>
    <m/>
    <m/>
    <m/>
    <m/>
    <m/>
  </r>
  <r>
    <n v="17"/>
    <x v="0"/>
    <n v="5.8"/>
    <x v="2"/>
    <n v="7.6"/>
    <n v="0.7"/>
    <n v="2.83"/>
    <n v="1"/>
    <x v="2"/>
    <n v="7"/>
    <n v="6"/>
    <n v="8"/>
    <m/>
    <m/>
    <m/>
    <m/>
    <m/>
    <m/>
    <m/>
    <m/>
    <m/>
    <m/>
    <m/>
    <m/>
    <m/>
    <m/>
    <m/>
    <m/>
  </r>
  <r>
    <n v="14"/>
    <x v="1"/>
    <n v="3.9"/>
    <x v="2"/>
    <n v="7"/>
    <n v="2.8"/>
    <n v="2.8"/>
    <n v="0.1"/>
    <x v="0"/>
    <n v="8"/>
    <n v="2"/>
    <n v="8"/>
    <m/>
    <m/>
    <m/>
    <m/>
    <m/>
    <m/>
    <m/>
    <m/>
    <m/>
    <m/>
    <m/>
    <m/>
    <m/>
    <m/>
    <m/>
    <m/>
  </r>
  <r>
    <n v="15"/>
    <x v="0"/>
    <n v="7.5"/>
    <x v="2"/>
    <n v="7"/>
    <n v="0.9"/>
    <n v="3.48"/>
    <n v="1.1000000000000001"/>
    <x v="1"/>
    <n v="2"/>
    <n v="2"/>
    <n v="6"/>
    <m/>
    <m/>
    <m/>
    <m/>
    <m/>
    <m/>
    <m/>
    <m/>
    <m/>
    <m/>
    <m/>
    <m/>
    <m/>
    <m/>
    <m/>
    <m/>
  </r>
  <r>
    <n v="14"/>
    <x v="0"/>
    <n v="5.2"/>
    <x v="2"/>
    <n v="6.7"/>
    <n v="2"/>
    <n v="3.48"/>
    <n v="1"/>
    <x v="2"/>
    <n v="2"/>
    <n v="1"/>
    <n v="5"/>
    <m/>
    <m/>
    <m/>
    <m/>
    <m/>
    <m/>
    <m/>
    <m/>
    <m/>
    <m/>
    <m/>
    <m/>
    <m/>
    <m/>
    <m/>
    <m/>
  </r>
  <r>
    <n v="16"/>
    <x v="1"/>
    <n v="3.1"/>
    <x v="1"/>
    <n v="5"/>
    <n v="1.1000000000000001"/>
    <n v="2.73"/>
    <n v="1.6"/>
    <x v="0"/>
    <n v="2"/>
    <n v="8"/>
    <n v="1"/>
    <m/>
    <m/>
    <m/>
    <m/>
    <m/>
    <m/>
    <m/>
    <m/>
    <m/>
    <m/>
    <m/>
    <m/>
    <m/>
    <m/>
    <m/>
    <m/>
  </r>
  <r>
    <n v="16"/>
    <x v="1"/>
    <n v="2"/>
    <x v="0"/>
    <n v="8.6999999999999993"/>
    <n v="1.2"/>
    <n v="3"/>
    <n v="0"/>
    <x v="0"/>
    <n v="8"/>
    <n v="8"/>
    <n v="4"/>
    <m/>
    <m/>
    <m/>
    <m/>
    <m/>
    <m/>
    <m/>
    <m/>
    <m/>
    <m/>
    <m/>
    <m/>
    <m/>
    <m/>
    <m/>
    <m/>
  </r>
  <r>
    <n v="14"/>
    <x v="0"/>
    <n v="2.7"/>
    <x v="0"/>
    <n v="8.4"/>
    <n v="1.3"/>
    <n v="2.0099999999999998"/>
    <n v="0.6"/>
    <x v="0"/>
    <n v="6"/>
    <n v="3"/>
    <n v="8"/>
    <m/>
    <m/>
    <m/>
    <m/>
    <m/>
    <m/>
    <m/>
    <m/>
    <m/>
    <m/>
    <m/>
    <m/>
    <m/>
    <m/>
    <m/>
    <m/>
  </r>
  <r>
    <n v="14"/>
    <x v="0"/>
    <n v="1.5"/>
    <x v="2"/>
    <n v="4.3"/>
    <n v="2.1"/>
    <n v="3.9"/>
    <n v="1.5"/>
    <x v="0"/>
    <n v="10"/>
    <n v="2"/>
    <n v="4"/>
    <m/>
    <m/>
    <m/>
    <m/>
    <m/>
    <m/>
    <m/>
    <m/>
    <m/>
    <m/>
    <m/>
    <m/>
    <m/>
    <m/>
    <m/>
    <m/>
  </r>
  <r>
    <n v="17"/>
    <x v="1"/>
    <n v="6.9"/>
    <x v="0"/>
    <n v="8.1999999999999993"/>
    <n v="0.8"/>
    <n v="2.36"/>
    <n v="0"/>
    <x v="2"/>
    <n v="10"/>
    <n v="10"/>
    <n v="7"/>
    <m/>
    <m/>
    <m/>
    <m/>
    <m/>
    <m/>
    <m/>
    <m/>
    <m/>
    <m/>
    <m/>
    <m/>
    <m/>
    <m/>
    <m/>
    <m/>
  </r>
  <r>
    <n v="13"/>
    <x v="0"/>
    <n v="1.1000000000000001"/>
    <x v="1"/>
    <n v="7.1"/>
    <n v="1.8"/>
    <n v="2.5499999999999998"/>
    <n v="0.8"/>
    <x v="1"/>
    <n v="5"/>
    <n v="5"/>
    <n v="10"/>
    <m/>
    <m/>
    <m/>
    <m/>
    <m/>
    <m/>
    <m/>
    <m/>
    <m/>
    <m/>
    <m/>
    <m/>
    <m/>
    <m/>
    <m/>
    <m/>
  </r>
  <r>
    <n v="13"/>
    <x v="0"/>
    <n v="3.4"/>
    <x v="1"/>
    <n v="4.4000000000000004"/>
    <n v="0.6"/>
    <n v="3.41"/>
    <n v="0.2"/>
    <x v="0"/>
    <n v="8"/>
    <n v="6"/>
    <n v="3"/>
    <m/>
    <m/>
    <m/>
    <m/>
    <m/>
    <m/>
    <m/>
    <m/>
    <m/>
    <m/>
    <m/>
    <m/>
    <m/>
    <m/>
    <m/>
    <m/>
  </r>
  <r>
    <n v="15"/>
    <x v="0"/>
    <n v="6.7"/>
    <x v="2"/>
    <n v="4.5"/>
    <n v="2.1"/>
    <n v="3.71"/>
    <n v="1.3"/>
    <x v="1"/>
    <n v="3"/>
    <n v="3"/>
    <n v="3"/>
    <m/>
    <m/>
    <m/>
    <m/>
    <m/>
    <m/>
    <m/>
    <m/>
    <m/>
    <m/>
    <m/>
    <m/>
    <m/>
    <m/>
    <m/>
    <m/>
  </r>
  <r>
    <n v="18"/>
    <x v="0"/>
    <n v="1.1000000000000001"/>
    <x v="2"/>
    <n v="7.2"/>
    <n v="1"/>
    <n v="3.13"/>
    <n v="0.6"/>
    <x v="2"/>
    <n v="2"/>
    <n v="1"/>
    <n v="4"/>
    <m/>
    <m/>
    <m/>
    <m/>
    <m/>
    <m/>
    <m/>
    <m/>
    <m/>
    <m/>
    <m/>
    <m/>
    <m/>
    <m/>
    <m/>
    <m/>
  </r>
  <r>
    <n v="18"/>
    <x v="1"/>
    <n v="7.4"/>
    <x v="0"/>
    <n v="7.5"/>
    <n v="2.2999999999999998"/>
    <n v="2.39"/>
    <n v="0.9"/>
    <x v="1"/>
    <n v="4"/>
    <n v="1"/>
    <n v="4"/>
    <m/>
    <m/>
    <m/>
    <m/>
    <m/>
    <m/>
    <m/>
    <m/>
    <m/>
    <m/>
    <m/>
    <m/>
    <m/>
    <m/>
    <m/>
    <m/>
  </r>
  <r>
    <n v="19"/>
    <x v="1"/>
    <n v="4.8"/>
    <x v="1"/>
    <n v="6"/>
    <n v="1.5"/>
    <n v="2.61"/>
    <n v="1.2"/>
    <x v="1"/>
    <n v="2"/>
    <n v="2"/>
    <n v="6"/>
    <m/>
    <m/>
    <m/>
    <m/>
    <m/>
    <m/>
    <m/>
    <m/>
    <m/>
    <m/>
    <m/>
    <m/>
    <m/>
    <m/>
    <m/>
    <m/>
  </r>
  <r>
    <n v="14"/>
    <x v="0"/>
    <n v="1.2"/>
    <x v="2"/>
    <n v="5.2"/>
    <n v="2.2000000000000002"/>
    <n v="2.19"/>
    <n v="1.9"/>
    <x v="2"/>
    <n v="9"/>
    <n v="9"/>
    <n v="4"/>
    <m/>
    <m/>
    <m/>
    <m/>
    <m/>
    <m/>
    <m/>
    <m/>
    <m/>
    <m/>
    <m/>
    <m/>
    <m/>
    <m/>
    <m/>
    <m/>
  </r>
  <r>
    <n v="13"/>
    <x v="0"/>
    <n v="7.4"/>
    <x v="0"/>
    <n v="5.6"/>
    <n v="1.4"/>
    <n v="2.95"/>
    <n v="1.7"/>
    <x v="1"/>
    <n v="8"/>
    <n v="5"/>
    <n v="5"/>
    <m/>
    <m/>
    <m/>
    <m/>
    <m/>
    <m/>
    <m/>
    <m/>
    <m/>
    <m/>
    <m/>
    <m/>
    <m/>
    <m/>
    <m/>
    <m/>
  </r>
  <r>
    <n v="16"/>
    <x v="1"/>
    <n v="2.6"/>
    <x v="2"/>
    <n v="8.6"/>
    <n v="1.3"/>
    <n v="3.64"/>
    <n v="1.6"/>
    <x v="1"/>
    <n v="5"/>
    <n v="3"/>
    <n v="1"/>
    <m/>
    <m/>
    <m/>
    <m/>
    <m/>
    <m/>
    <m/>
    <m/>
    <m/>
    <m/>
    <m/>
    <m/>
    <m/>
    <m/>
    <m/>
    <m/>
  </r>
  <r>
    <n v="17"/>
    <x v="1"/>
    <n v="5"/>
    <x v="2"/>
    <n v="9"/>
    <n v="2.5"/>
    <n v="3.4"/>
    <n v="0.9"/>
    <x v="1"/>
    <n v="8"/>
    <n v="10"/>
    <n v="5"/>
    <m/>
    <m/>
    <m/>
    <m/>
    <m/>
    <m/>
    <m/>
    <m/>
    <m/>
    <m/>
    <m/>
    <m/>
    <m/>
    <m/>
    <m/>
    <m/>
  </r>
  <r>
    <n v="18"/>
    <x v="0"/>
    <n v="7.5"/>
    <x v="0"/>
    <n v="7.4"/>
    <n v="1.8"/>
    <n v="3.47"/>
    <n v="0"/>
    <x v="0"/>
    <n v="9"/>
    <n v="4"/>
    <n v="2"/>
    <m/>
    <m/>
    <m/>
    <m/>
    <m/>
    <m/>
    <m/>
    <m/>
    <m/>
    <m/>
    <m/>
    <m/>
    <m/>
    <m/>
    <m/>
    <m/>
  </r>
  <r>
    <n v="17"/>
    <x v="1"/>
    <n v="5.4"/>
    <x v="2"/>
    <n v="5.7"/>
    <n v="2.5"/>
    <n v="3.13"/>
    <n v="1.9"/>
    <x v="2"/>
    <n v="5"/>
    <n v="10"/>
    <n v="3"/>
    <m/>
    <m/>
    <m/>
    <m/>
    <m/>
    <m/>
    <m/>
    <m/>
    <m/>
    <m/>
    <m/>
    <m/>
    <m/>
    <m/>
    <m/>
    <m/>
  </r>
  <r>
    <n v="17"/>
    <x v="1"/>
    <n v="5.6"/>
    <x v="0"/>
    <n v="5.3"/>
    <n v="1.7"/>
    <n v="2.77"/>
    <n v="0.9"/>
    <x v="2"/>
    <n v="8"/>
    <n v="4"/>
    <n v="8"/>
    <m/>
    <m/>
    <m/>
    <m/>
    <m/>
    <m/>
    <m/>
    <m/>
    <m/>
    <m/>
    <m/>
    <m/>
    <m/>
    <m/>
    <m/>
    <m/>
  </r>
  <r>
    <n v="18"/>
    <x v="0"/>
    <n v="6.2"/>
    <x v="0"/>
    <n v="4.0999999999999996"/>
    <n v="2.8"/>
    <n v="3.41"/>
    <n v="1.1000000000000001"/>
    <x v="2"/>
    <n v="7"/>
    <n v="8"/>
    <n v="1"/>
    <m/>
    <m/>
    <m/>
    <m/>
    <m/>
    <m/>
    <m/>
    <m/>
    <m/>
    <m/>
    <m/>
    <m/>
    <m/>
    <m/>
    <m/>
    <m/>
  </r>
  <r>
    <n v="17"/>
    <x v="1"/>
    <n v="4.7"/>
    <x v="0"/>
    <n v="4.7"/>
    <n v="2.4"/>
    <n v="3.94"/>
    <n v="0"/>
    <x v="2"/>
    <n v="10"/>
    <n v="5"/>
    <n v="8"/>
    <m/>
    <m/>
    <m/>
    <m/>
    <m/>
    <m/>
    <m/>
    <m/>
    <m/>
    <m/>
    <m/>
    <m/>
    <m/>
    <m/>
    <m/>
    <m/>
  </r>
  <r>
    <n v="18"/>
    <x v="1"/>
    <n v="4"/>
    <x v="0"/>
    <n v="4.5999999999999996"/>
    <n v="2.2000000000000002"/>
    <n v="3.7"/>
    <n v="0.6"/>
    <x v="2"/>
    <n v="4"/>
    <n v="1"/>
    <n v="4"/>
    <m/>
    <m/>
    <m/>
    <m/>
    <m/>
    <m/>
    <m/>
    <m/>
    <m/>
    <m/>
    <m/>
    <m/>
    <m/>
    <m/>
    <m/>
    <m/>
  </r>
  <r>
    <n v="18"/>
    <x v="0"/>
    <n v="6.2"/>
    <x v="1"/>
    <n v="8.6"/>
    <n v="1.5"/>
    <n v="3.22"/>
    <n v="1.6"/>
    <x v="0"/>
    <n v="4"/>
    <n v="5"/>
    <n v="7"/>
    <m/>
    <m/>
    <m/>
    <m/>
    <m/>
    <m/>
    <m/>
    <m/>
    <m/>
    <m/>
    <m/>
    <m/>
    <m/>
    <m/>
    <m/>
    <m/>
  </r>
  <r>
    <n v="17"/>
    <x v="1"/>
    <n v="5.6"/>
    <x v="1"/>
    <n v="6.8"/>
    <n v="2"/>
    <n v="2.2200000000000002"/>
    <n v="1"/>
    <x v="2"/>
    <n v="6"/>
    <n v="9"/>
    <n v="8"/>
    <m/>
    <m/>
    <m/>
    <m/>
    <m/>
    <m/>
    <m/>
    <m/>
    <m/>
    <m/>
    <m/>
    <m/>
    <m/>
    <m/>
    <m/>
    <m/>
  </r>
  <r>
    <n v="13"/>
    <x v="1"/>
    <n v="4"/>
    <x v="0"/>
    <n v="4.4000000000000004"/>
    <n v="2.5"/>
    <n v="3.6"/>
    <n v="1.4"/>
    <x v="2"/>
    <n v="7"/>
    <n v="2"/>
    <n v="10"/>
    <m/>
    <m/>
    <m/>
    <m/>
    <m/>
    <m/>
    <m/>
    <m/>
    <m/>
    <m/>
    <m/>
    <m/>
    <m/>
    <m/>
    <m/>
    <m/>
  </r>
  <r>
    <n v="15"/>
    <x v="1"/>
    <n v="1.8"/>
    <x v="0"/>
    <n v="6.4"/>
    <n v="2.4"/>
    <n v="2.16"/>
    <n v="1.9"/>
    <x v="2"/>
    <n v="3"/>
    <n v="6"/>
    <n v="9"/>
    <m/>
    <m/>
    <m/>
    <m/>
    <m/>
    <m/>
    <m/>
    <m/>
    <m/>
    <m/>
    <m/>
    <m/>
    <m/>
    <m/>
    <m/>
    <m/>
  </r>
  <r>
    <n v="13"/>
    <x v="0"/>
    <n v="3.1"/>
    <x v="1"/>
    <n v="5.4"/>
    <n v="1.9"/>
    <n v="3.66"/>
    <n v="0.4"/>
    <x v="0"/>
    <n v="7"/>
    <n v="4"/>
    <n v="2"/>
    <m/>
    <m/>
    <m/>
    <m/>
    <m/>
    <m/>
    <m/>
    <m/>
    <m/>
    <m/>
    <m/>
    <m/>
    <m/>
    <m/>
    <m/>
    <m/>
  </r>
  <r>
    <n v="13"/>
    <x v="1"/>
    <n v="3.5"/>
    <x v="1"/>
    <n v="5.2"/>
    <n v="2.5"/>
    <n v="2.57"/>
    <n v="1.1000000000000001"/>
    <x v="1"/>
    <n v="1"/>
    <n v="6"/>
    <n v="3"/>
    <m/>
    <m/>
    <m/>
    <m/>
    <m/>
    <m/>
    <m/>
    <m/>
    <m/>
    <m/>
    <m/>
    <m/>
    <m/>
    <m/>
    <m/>
    <m/>
  </r>
  <r>
    <n v="18"/>
    <x v="0"/>
    <n v="7.4"/>
    <x v="1"/>
    <n v="6.4"/>
    <n v="2.2000000000000002"/>
    <n v="3.51"/>
    <n v="1"/>
    <x v="1"/>
    <n v="4"/>
    <n v="5"/>
    <n v="4"/>
    <m/>
    <m/>
    <m/>
    <m/>
    <m/>
    <m/>
    <m/>
    <m/>
    <m/>
    <m/>
    <m/>
    <m/>
    <m/>
    <m/>
    <m/>
    <m/>
  </r>
  <r>
    <n v="16"/>
    <x v="0"/>
    <n v="8"/>
    <x v="0"/>
    <n v="5.5"/>
    <n v="1.4"/>
    <n v="2.95"/>
    <n v="0.3"/>
    <x v="2"/>
    <n v="2"/>
    <n v="5"/>
    <n v="2"/>
    <m/>
    <m/>
    <m/>
    <m/>
    <m/>
    <m/>
    <m/>
    <m/>
    <m/>
    <m/>
    <m/>
    <m/>
    <m/>
    <m/>
    <m/>
    <m/>
  </r>
  <r>
    <n v="13"/>
    <x v="0"/>
    <n v="5.0999999999999996"/>
    <x v="2"/>
    <n v="4.0999999999999996"/>
    <n v="1.6"/>
    <n v="3.32"/>
    <n v="0.8"/>
    <x v="2"/>
    <n v="1"/>
    <n v="3"/>
    <n v="8"/>
    <m/>
    <m/>
    <m/>
    <m/>
    <m/>
    <m/>
    <m/>
    <m/>
    <m/>
    <m/>
    <m/>
    <m/>
    <m/>
    <m/>
    <m/>
    <m/>
  </r>
  <r>
    <n v="18"/>
    <x v="1"/>
    <n v="2.4"/>
    <x v="0"/>
    <n v="6.3"/>
    <n v="1.3"/>
    <n v="3.05"/>
    <n v="1.7"/>
    <x v="0"/>
    <n v="2"/>
    <n v="9"/>
    <n v="5"/>
    <m/>
    <m/>
    <m/>
    <m/>
    <m/>
    <m/>
    <m/>
    <m/>
    <m/>
    <m/>
    <m/>
    <m/>
    <m/>
    <m/>
    <m/>
    <m/>
  </r>
  <r>
    <n v="13"/>
    <x v="0"/>
    <n v="1.6"/>
    <x v="0"/>
    <n v="4.2"/>
    <n v="1.5"/>
    <n v="3.72"/>
    <n v="1.7"/>
    <x v="2"/>
    <n v="10"/>
    <n v="1"/>
    <n v="10"/>
    <m/>
    <m/>
    <m/>
    <m/>
    <m/>
    <m/>
    <m/>
    <m/>
    <m/>
    <m/>
    <m/>
    <m/>
    <m/>
    <m/>
    <m/>
    <m/>
  </r>
  <r>
    <n v="18"/>
    <x v="0"/>
    <n v="5.8"/>
    <x v="0"/>
    <n v="6.7"/>
    <n v="1.9"/>
    <n v="3"/>
    <n v="1.9"/>
    <x v="0"/>
    <n v="5"/>
    <n v="8"/>
    <n v="2"/>
    <m/>
    <m/>
    <m/>
    <m/>
    <m/>
    <m/>
    <m/>
    <m/>
    <m/>
    <m/>
    <m/>
    <m/>
    <m/>
    <m/>
    <m/>
    <m/>
  </r>
  <r>
    <n v="15"/>
    <x v="0"/>
    <n v="2.7"/>
    <x v="1"/>
    <n v="6.6"/>
    <n v="1.9"/>
    <n v="2.75"/>
    <n v="1.9"/>
    <x v="2"/>
    <n v="3"/>
    <n v="6"/>
    <n v="6"/>
    <m/>
    <m/>
    <m/>
    <m/>
    <m/>
    <m/>
    <m/>
    <m/>
    <m/>
    <m/>
    <m/>
    <m/>
    <m/>
    <m/>
    <m/>
    <m/>
  </r>
  <r>
    <n v="13"/>
    <x v="1"/>
    <n v="4"/>
    <x v="2"/>
    <n v="4.5"/>
    <n v="1"/>
    <n v="3.65"/>
    <n v="1.8"/>
    <x v="0"/>
    <n v="5"/>
    <n v="6"/>
    <n v="5"/>
    <m/>
    <m/>
    <m/>
    <m/>
    <m/>
    <m/>
    <m/>
    <m/>
    <m/>
    <m/>
    <m/>
    <m/>
    <m/>
    <m/>
    <m/>
    <m/>
  </r>
  <r>
    <n v="18"/>
    <x v="0"/>
    <n v="3.2"/>
    <x v="2"/>
    <n v="8.8000000000000007"/>
    <n v="1.2"/>
    <n v="3.71"/>
    <n v="1.1000000000000001"/>
    <x v="2"/>
    <n v="7"/>
    <n v="6"/>
    <n v="10"/>
    <m/>
    <m/>
    <m/>
    <m/>
    <m/>
    <m/>
    <m/>
    <m/>
    <m/>
    <m/>
    <m/>
    <m/>
    <m/>
    <m/>
    <m/>
    <m/>
  </r>
  <r>
    <n v="13"/>
    <x v="0"/>
    <n v="1.6"/>
    <x v="1"/>
    <n v="4.3"/>
    <n v="0.6"/>
    <n v="3.91"/>
    <n v="2"/>
    <x v="2"/>
    <n v="5"/>
    <n v="10"/>
    <n v="7"/>
    <m/>
    <m/>
    <m/>
    <m/>
    <m/>
    <m/>
    <m/>
    <m/>
    <m/>
    <m/>
    <m/>
    <m/>
    <m/>
    <m/>
    <m/>
    <m/>
  </r>
  <r>
    <n v="14"/>
    <x v="0"/>
    <n v="2.2999999999999998"/>
    <x v="1"/>
    <n v="8"/>
    <n v="2.5"/>
    <n v="3.08"/>
    <n v="1.7"/>
    <x v="2"/>
    <n v="5"/>
    <n v="6"/>
    <n v="7"/>
    <m/>
    <m/>
    <m/>
    <m/>
    <m/>
    <m/>
    <m/>
    <m/>
    <m/>
    <m/>
    <m/>
    <m/>
    <m/>
    <m/>
    <m/>
    <m/>
  </r>
  <r>
    <n v="17"/>
    <x v="0"/>
    <n v="7.7"/>
    <x v="1"/>
    <n v="8.5"/>
    <n v="1.2"/>
    <n v="3.56"/>
    <n v="0"/>
    <x v="2"/>
    <n v="7"/>
    <n v="10"/>
    <n v="7"/>
    <m/>
    <m/>
    <m/>
    <m/>
    <m/>
    <m/>
    <m/>
    <m/>
    <m/>
    <m/>
    <m/>
    <m/>
    <m/>
    <m/>
    <m/>
    <m/>
  </r>
  <r>
    <n v="16"/>
    <x v="0"/>
    <n v="4.8"/>
    <x v="2"/>
    <n v="7.1"/>
    <n v="0.6"/>
    <n v="3.36"/>
    <n v="0.7"/>
    <x v="1"/>
    <n v="7"/>
    <n v="6"/>
    <n v="9"/>
    <m/>
    <m/>
    <m/>
    <m/>
    <m/>
    <m/>
    <m/>
    <m/>
    <m/>
    <m/>
    <m/>
    <m/>
    <m/>
    <m/>
    <m/>
    <m/>
  </r>
  <r>
    <n v="17"/>
    <x v="1"/>
    <n v="5.2"/>
    <x v="2"/>
    <n v="6"/>
    <n v="0.6"/>
    <n v="3.07"/>
    <n v="0.6"/>
    <x v="2"/>
    <n v="6"/>
    <n v="2"/>
    <n v="9"/>
    <m/>
    <m/>
    <m/>
    <m/>
    <m/>
    <m/>
    <m/>
    <m/>
    <m/>
    <m/>
    <m/>
    <m/>
    <m/>
    <m/>
    <m/>
    <m/>
  </r>
  <r>
    <n v="13"/>
    <x v="0"/>
    <n v="5.7"/>
    <x v="2"/>
    <n v="6.6"/>
    <n v="2.4"/>
    <n v="3.99"/>
    <n v="1.7"/>
    <x v="1"/>
    <n v="1"/>
    <n v="3"/>
    <n v="1"/>
    <m/>
    <m/>
    <m/>
    <m/>
    <m/>
    <m/>
    <m/>
    <m/>
    <m/>
    <m/>
    <m/>
    <m/>
    <m/>
    <m/>
    <m/>
    <m/>
  </r>
  <r>
    <n v="15"/>
    <x v="0"/>
    <n v="4.5999999999999996"/>
    <x v="1"/>
    <n v="5.2"/>
    <n v="1.4"/>
    <n v="2.98"/>
    <n v="1.9"/>
    <x v="0"/>
    <n v="1"/>
    <n v="4"/>
    <n v="5"/>
    <m/>
    <m/>
    <m/>
    <m/>
    <m/>
    <m/>
    <m/>
    <m/>
    <m/>
    <m/>
    <m/>
    <m/>
    <m/>
    <m/>
    <m/>
    <m/>
  </r>
  <r>
    <n v="13"/>
    <x v="0"/>
    <n v="4.3"/>
    <x v="1"/>
    <n v="7.5"/>
    <n v="2.7"/>
    <n v="2.29"/>
    <n v="0.8"/>
    <x v="1"/>
    <n v="1"/>
    <n v="10"/>
    <n v="1"/>
    <m/>
    <m/>
    <m/>
    <m/>
    <m/>
    <m/>
    <m/>
    <m/>
    <m/>
    <m/>
    <m/>
    <m/>
    <m/>
    <m/>
    <m/>
    <m/>
  </r>
  <r>
    <n v="17"/>
    <x v="1"/>
    <n v="4.0999999999999996"/>
    <x v="0"/>
    <n v="8.6"/>
    <n v="3"/>
    <n v="2.77"/>
    <n v="0.1"/>
    <x v="2"/>
    <n v="3"/>
    <n v="6"/>
    <n v="1"/>
    <m/>
    <m/>
    <m/>
    <m/>
    <m/>
    <m/>
    <m/>
    <m/>
    <m/>
    <m/>
    <m/>
    <m/>
    <m/>
    <m/>
    <m/>
    <m/>
  </r>
  <r>
    <n v="15"/>
    <x v="0"/>
    <n v="6.5"/>
    <x v="2"/>
    <n v="8.1"/>
    <n v="2"/>
    <n v="3.89"/>
    <n v="1.3"/>
    <x v="1"/>
    <n v="8"/>
    <n v="2"/>
    <n v="2"/>
    <m/>
    <m/>
    <m/>
    <m/>
    <m/>
    <m/>
    <m/>
    <m/>
    <m/>
    <m/>
    <m/>
    <m/>
    <m/>
    <m/>
    <m/>
    <m/>
  </r>
  <r>
    <n v="19"/>
    <x v="1"/>
    <n v="7.8"/>
    <x v="2"/>
    <n v="8.8000000000000007"/>
    <n v="2.1"/>
    <n v="3.75"/>
    <n v="1.3"/>
    <x v="1"/>
    <n v="10"/>
    <n v="9"/>
    <n v="6"/>
    <m/>
    <m/>
    <m/>
    <m/>
    <m/>
    <m/>
    <m/>
    <m/>
    <m/>
    <m/>
    <m/>
    <m/>
    <m/>
    <m/>
    <m/>
    <m/>
  </r>
  <r>
    <n v="17"/>
    <x v="0"/>
    <n v="6.5"/>
    <x v="0"/>
    <n v="4.0999999999999996"/>
    <n v="2.7"/>
    <n v="3.66"/>
    <n v="1.1000000000000001"/>
    <x v="2"/>
    <n v="6"/>
    <n v="10"/>
    <n v="10"/>
    <m/>
    <m/>
    <m/>
    <m/>
    <m/>
    <m/>
    <m/>
    <m/>
    <m/>
    <m/>
    <m/>
    <m/>
    <m/>
    <m/>
    <m/>
    <m/>
  </r>
  <r>
    <n v="17"/>
    <x v="1"/>
    <n v="3.2"/>
    <x v="1"/>
    <n v="4.2"/>
    <n v="0.6"/>
    <n v="2.21"/>
    <n v="1.4"/>
    <x v="2"/>
    <n v="6"/>
    <n v="6"/>
    <n v="3"/>
    <m/>
    <m/>
    <m/>
    <m/>
    <m/>
    <m/>
    <m/>
    <m/>
    <m/>
    <m/>
    <m/>
    <m/>
    <m/>
    <m/>
    <m/>
    <m/>
  </r>
  <r>
    <n v="13"/>
    <x v="0"/>
    <n v="2.4"/>
    <x v="1"/>
    <n v="4.0999999999999996"/>
    <n v="0.8"/>
    <n v="2.79"/>
    <n v="1.1000000000000001"/>
    <x v="2"/>
    <n v="8"/>
    <n v="6"/>
    <n v="3"/>
    <m/>
    <m/>
    <m/>
    <m/>
    <m/>
    <m/>
    <m/>
    <m/>
    <m/>
    <m/>
    <m/>
    <m/>
    <m/>
    <m/>
    <m/>
    <m/>
  </r>
  <r>
    <n v="15"/>
    <x v="1"/>
    <n v="4"/>
    <x v="0"/>
    <n v="8.1"/>
    <n v="2.1"/>
    <n v="2.0099999999999998"/>
    <n v="0.4"/>
    <x v="2"/>
    <n v="4"/>
    <n v="8"/>
    <n v="8"/>
    <m/>
    <m/>
    <m/>
    <m/>
    <m/>
    <m/>
    <m/>
    <m/>
    <m/>
    <m/>
    <m/>
    <m/>
    <m/>
    <m/>
    <m/>
    <m/>
  </r>
  <r>
    <n v="17"/>
    <x v="1"/>
    <n v="6"/>
    <x v="2"/>
    <n v="8.8000000000000007"/>
    <n v="1.3"/>
    <n v="4"/>
    <n v="0.9"/>
    <x v="2"/>
    <n v="8"/>
    <n v="10"/>
    <n v="7"/>
    <m/>
    <m/>
    <m/>
    <m/>
    <m/>
    <m/>
    <m/>
    <m/>
    <m/>
    <m/>
    <m/>
    <m/>
    <m/>
    <m/>
    <m/>
    <m/>
  </r>
  <r>
    <n v="18"/>
    <x v="0"/>
    <n v="1.2"/>
    <x v="1"/>
    <n v="8"/>
    <n v="1.7"/>
    <n v="3.12"/>
    <n v="0.1"/>
    <x v="0"/>
    <n v="6"/>
    <n v="4"/>
    <n v="2"/>
    <m/>
    <m/>
    <m/>
    <m/>
    <m/>
    <m/>
    <m/>
    <m/>
    <m/>
    <m/>
    <m/>
    <m/>
    <m/>
    <m/>
    <m/>
    <m/>
  </r>
  <r>
    <n v="16"/>
    <x v="0"/>
    <n v="5.7"/>
    <x v="2"/>
    <n v="5.8"/>
    <n v="2.8"/>
    <n v="2.17"/>
    <n v="0.5"/>
    <x v="2"/>
    <n v="3"/>
    <n v="9"/>
    <n v="2"/>
    <m/>
    <m/>
    <m/>
    <m/>
    <m/>
    <m/>
    <m/>
    <m/>
    <m/>
    <m/>
    <m/>
    <m/>
    <m/>
    <m/>
    <m/>
    <m/>
  </r>
  <r>
    <n v="19"/>
    <x v="0"/>
    <n v="6.5"/>
    <x v="2"/>
    <n v="8.1"/>
    <n v="2.2999999999999998"/>
    <n v="2.21"/>
    <n v="0.4"/>
    <x v="1"/>
    <n v="8"/>
    <n v="8"/>
    <n v="6"/>
    <m/>
    <m/>
    <m/>
    <m/>
    <m/>
    <m/>
    <m/>
    <m/>
    <m/>
    <m/>
    <m/>
    <m/>
    <m/>
    <m/>
    <m/>
    <m/>
  </r>
  <r>
    <n v="16"/>
    <x v="0"/>
    <n v="6.6"/>
    <x v="0"/>
    <n v="5.6"/>
    <n v="0.8"/>
    <n v="3.48"/>
    <n v="1.7"/>
    <x v="2"/>
    <n v="4"/>
    <n v="3"/>
    <n v="4"/>
    <m/>
    <m/>
    <m/>
    <m/>
    <m/>
    <m/>
    <m/>
    <m/>
    <m/>
    <m/>
    <m/>
    <m/>
    <m/>
    <m/>
    <m/>
    <m/>
  </r>
  <r>
    <n v="13"/>
    <x v="0"/>
    <n v="6"/>
    <x v="1"/>
    <n v="7.2"/>
    <n v="1.5"/>
    <n v="2.36"/>
    <n v="0.2"/>
    <x v="0"/>
    <n v="1"/>
    <n v="3"/>
    <n v="4"/>
    <m/>
    <m/>
    <m/>
    <m/>
    <m/>
    <m/>
    <m/>
    <m/>
    <m/>
    <m/>
    <m/>
    <m/>
    <m/>
    <m/>
    <m/>
    <m/>
  </r>
  <r>
    <n v="18"/>
    <x v="1"/>
    <n v="1.1000000000000001"/>
    <x v="2"/>
    <n v="8"/>
    <n v="2.7"/>
    <n v="2.04"/>
    <n v="0.1"/>
    <x v="0"/>
    <n v="7"/>
    <n v="10"/>
    <n v="2"/>
    <m/>
    <m/>
    <m/>
    <m/>
    <m/>
    <m/>
    <m/>
    <m/>
    <m/>
    <m/>
    <m/>
    <m/>
    <m/>
    <m/>
    <m/>
    <m/>
  </r>
  <r>
    <n v="13"/>
    <x v="1"/>
    <n v="3.8"/>
    <x v="0"/>
    <n v="7.9"/>
    <n v="1.3"/>
    <n v="3.97"/>
    <n v="0.2"/>
    <x v="2"/>
    <n v="7"/>
    <n v="10"/>
    <n v="9"/>
    <m/>
    <m/>
    <m/>
    <m/>
    <m/>
    <m/>
    <m/>
    <m/>
    <m/>
    <m/>
    <m/>
    <m/>
    <m/>
    <m/>
    <m/>
    <m/>
  </r>
  <r>
    <n v="13"/>
    <x v="1"/>
    <n v="4.7"/>
    <x v="2"/>
    <n v="6.8"/>
    <n v="1.7"/>
    <n v="3.27"/>
    <n v="1.4"/>
    <x v="0"/>
    <n v="4"/>
    <n v="2"/>
    <n v="4"/>
    <m/>
    <m/>
    <m/>
    <m/>
    <m/>
    <m/>
    <m/>
    <m/>
    <m/>
    <m/>
    <m/>
    <m/>
    <m/>
    <m/>
    <m/>
    <m/>
  </r>
  <r>
    <n v="15"/>
    <x v="0"/>
    <n v="7.4"/>
    <x v="1"/>
    <n v="6.3"/>
    <n v="1.3"/>
    <n v="3.47"/>
    <n v="1.2"/>
    <x v="2"/>
    <n v="1"/>
    <n v="3"/>
    <n v="9"/>
    <m/>
    <m/>
    <m/>
    <m/>
    <m/>
    <m/>
    <m/>
    <m/>
    <m/>
    <m/>
    <m/>
    <m/>
    <m/>
    <m/>
    <m/>
    <m/>
  </r>
  <r>
    <n v="17"/>
    <x v="0"/>
    <n v="3.9"/>
    <x v="0"/>
    <n v="7.1"/>
    <n v="2.4"/>
    <n v="3.82"/>
    <n v="0.8"/>
    <x v="1"/>
    <n v="3"/>
    <n v="6"/>
    <n v="10"/>
    <m/>
    <m/>
    <m/>
    <m/>
    <m/>
    <m/>
    <m/>
    <m/>
    <m/>
    <m/>
    <m/>
    <m/>
    <m/>
    <m/>
    <m/>
    <m/>
  </r>
  <r>
    <n v="18"/>
    <x v="0"/>
    <n v="3.1"/>
    <x v="0"/>
    <n v="5.7"/>
    <n v="2.9"/>
    <n v="3.1"/>
    <n v="0.6"/>
    <x v="2"/>
    <n v="9"/>
    <n v="4"/>
    <n v="2"/>
    <m/>
    <m/>
    <m/>
    <m/>
    <m/>
    <m/>
    <m/>
    <m/>
    <m/>
    <m/>
    <m/>
    <m/>
    <m/>
    <m/>
    <m/>
    <m/>
  </r>
  <r>
    <n v="16"/>
    <x v="1"/>
    <n v="2.6"/>
    <x v="1"/>
    <n v="8.8000000000000007"/>
    <n v="1.7"/>
    <n v="2.39"/>
    <n v="1"/>
    <x v="2"/>
    <n v="5"/>
    <n v="2"/>
    <n v="6"/>
    <m/>
    <m/>
    <m/>
    <m/>
    <m/>
    <m/>
    <m/>
    <m/>
    <m/>
    <m/>
    <m/>
    <m/>
    <m/>
    <m/>
    <m/>
    <m/>
  </r>
  <r>
    <n v="13"/>
    <x v="0"/>
    <n v="5"/>
    <x v="1"/>
    <n v="6.9"/>
    <n v="0.6"/>
    <n v="3.03"/>
    <n v="0.8"/>
    <x v="0"/>
    <n v="9"/>
    <n v="3"/>
    <n v="8"/>
    <m/>
    <m/>
    <m/>
    <m/>
    <m/>
    <m/>
    <m/>
    <m/>
    <m/>
    <m/>
    <m/>
    <m/>
    <m/>
    <m/>
    <m/>
    <m/>
  </r>
  <r>
    <n v="18"/>
    <x v="0"/>
    <n v="4.5"/>
    <x v="0"/>
    <n v="8.1"/>
    <n v="1.6"/>
    <n v="3.72"/>
    <n v="1.2"/>
    <x v="0"/>
    <n v="1"/>
    <n v="2"/>
    <n v="1"/>
    <m/>
    <m/>
    <m/>
    <m/>
    <m/>
    <m/>
    <m/>
    <m/>
    <m/>
    <m/>
    <m/>
    <m/>
    <m/>
    <m/>
    <m/>
    <m/>
  </r>
  <r>
    <n v="17"/>
    <x v="0"/>
    <n v="2.1"/>
    <x v="1"/>
    <n v="4.7"/>
    <n v="2"/>
    <n v="2.99"/>
    <n v="1.9"/>
    <x v="0"/>
    <n v="5"/>
    <n v="1"/>
    <n v="8"/>
    <m/>
    <m/>
    <m/>
    <m/>
    <m/>
    <m/>
    <m/>
    <m/>
    <m/>
    <m/>
    <m/>
    <m/>
    <m/>
    <m/>
    <m/>
    <m/>
  </r>
  <r>
    <n v="14"/>
    <x v="1"/>
    <n v="6.4"/>
    <x v="0"/>
    <n v="6"/>
    <n v="1.1000000000000001"/>
    <n v="3.81"/>
    <n v="0.9"/>
    <x v="2"/>
    <n v="8"/>
    <n v="2"/>
    <n v="3"/>
    <m/>
    <m/>
    <m/>
    <m/>
    <m/>
    <m/>
    <m/>
    <m/>
    <m/>
    <m/>
    <m/>
    <m/>
    <m/>
    <m/>
    <m/>
    <m/>
  </r>
  <r>
    <n v="15"/>
    <x v="1"/>
    <n v="2.2999999999999998"/>
    <x v="1"/>
    <n v="6.5"/>
    <n v="2.6"/>
    <n v="3.18"/>
    <n v="0.1"/>
    <x v="0"/>
    <n v="1"/>
    <n v="8"/>
    <n v="4"/>
    <m/>
    <m/>
    <m/>
    <m/>
    <m/>
    <m/>
    <m/>
    <m/>
    <m/>
    <m/>
    <m/>
    <m/>
    <m/>
    <m/>
    <m/>
    <m/>
  </r>
  <r>
    <n v="13"/>
    <x v="1"/>
    <n v="4.4000000000000004"/>
    <x v="1"/>
    <n v="8.8000000000000007"/>
    <n v="1.3"/>
    <n v="2.69"/>
    <n v="0.4"/>
    <x v="0"/>
    <n v="3"/>
    <n v="1"/>
    <n v="7"/>
    <m/>
    <m/>
    <m/>
    <m/>
    <m/>
    <m/>
    <m/>
    <m/>
    <m/>
    <m/>
    <m/>
    <m/>
    <m/>
    <m/>
    <m/>
    <m/>
  </r>
  <r>
    <n v="19"/>
    <x v="0"/>
    <n v="2.2999999999999998"/>
    <x v="0"/>
    <n v="6.9"/>
    <n v="2.2999999999999998"/>
    <n v="2.17"/>
    <n v="1.6"/>
    <x v="2"/>
    <n v="3"/>
    <n v="6"/>
    <n v="10"/>
    <m/>
    <m/>
    <m/>
    <m/>
    <m/>
    <m/>
    <m/>
    <m/>
    <m/>
    <m/>
    <m/>
    <m/>
    <m/>
    <m/>
    <m/>
    <m/>
  </r>
  <r>
    <n v="13"/>
    <x v="0"/>
    <n v="4.3"/>
    <x v="0"/>
    <n v="4.4000000000000004"/>
    <n v="0.7"/>
    <n v="3.19"/>
    <n v="0.3"/>
    <x v="0"/>
    <n v="6"/>
    <n v="2"/>
    <n v="6"/>
    <m/>
    <m/>
    <m/>
    <m/>
    <m/>
    <m/>
    <m/>
    <m/>
    <m/>
    <m/>
    <m/>
    <m/>
    <m/>
    <m/>
    <m/>
    <m/>
  </r>
  <r>
    <n v="18"/>
    <x v="1"/>
    <n v="3.9"/>
    <x v="1"/>
    <n v="5.2"/>
    <n v="1.8"/>
    <n v="2.41"/>
    <n v="0.6"/>
    <x v="1"/>
    <n v="9"/>
    <n v="5"/>
    <n v="5"/>
    <m/>
    <m/>
    <m/>
    <m/>
    <m/>
    <m/>
    <m/>
    <m/>
    <m/>
    <m/>
    <m/>
    <m/>
    <m/>
    <m/>
    <m/>
    <m/>
  </r>
  <r>
    <n v="18"/>
    <x v="0"/>
    <n v="2.9"/>
    <x v="1"/>
    <n v="7.5"/>
    <n v="0.9"/>
    <n v="2.62"/>
    <n v="2"/>
    <x v="1"/>
    <n v="3"/>
    <n v="1"/>
    <n v="9"/>
    <m/>
    <m/>
    <m/>
    <m/>
    <m/>
    <m/>
    <m/>
    <m/>
    <m/>
    <m/>
    <m/>
    <m/>
    <m/>
    <m/>
    <m/>
    <m/>
  </r>
  <r>
    <n v="14"/>
    <x v="0"/>
    <n v="2.1"/>
    <x v="0"/>
    <n v="8.5"/>
    <n v="1.1000000000000001"/>
    <n v="3.03"/>
    <n v="1.6"/>
    <x v="2"/>
    <n v="5"/>
    <n v="6"/>
    <n v="7"/>
    <m/>
    <m/>
    <m/>
    <m/>
    <m/>
    <m/>
    <m/>
    <m/>
    <m/>
    <m/>
    <m/>
    <m/>
    <m/>
    <m/>
    <m/>
    <m/>
  </r>
  <r>
    <n v="14"/>
    <x v="0"/>
    <n v="2.1"/>
    <x v="1"/>
    <n v="5"/>
    <n v="1.4"/>
    <n v="2.96"/>
    <n v="1.1000000000000001"/>
    <x v="0"/>
    <n v="7"/>
    <n v="1"/>
    <n v="9"/>
    <m/>
    <m/>
    <m/>
    <m/>
    <m/>
    <m/>
    <m/>
    <m/>
    <m/>
    <m/>
    <m/>
    <m/>
    <m/>
    <m/>
    <m/>
    <m/>
  </r>
  <r>
    <n v="16"/>
    <x v="0"/>
    <n v="3.8"/>
    <x v="1"/>
    <n v="5.7"/>
    <n v="1.3"/>
    <n v="3.84"/>
    <n v="1.6"/>
    <x v="2"/>
    <n v="3"/>
    <n v="4"/>
    <n v="10"/>
    <m/>
    <m/>
    <m/>
    <m/>
    <m/>
    <m/>
    <m/>
    <m/>
    <m/>
    <m/>
    <m/>
    <m/>
    <m/>
    <m/>
    <m/>
    <m/>
  </r>
  <r>
    <n v="15"/>
    <x v="1"/>
    <n v="1.1000000000000001"/>
    <x v="1"/>
    <n v="8.1999999999999993"/>
    <n v="0.7"/>
    <n v="2.94"/>
    <n v="0.7"/>
    <x v="1"/>
    <n v="10"/>
    <n v="7"/>
    <n v="9"/>
    <m/>
    <m/>
    <m/>
    <m/>
    <m/>
    <m/>
    <m/>
    <m/>
    <m/>
    <m/>
    <m/>
    <m/>
    <m/>
    <m/>
    <m/>
    <m/>
  </r>
  <r>
    <n v="14"/>
    <x v="0"/>
    <n v="2.5"/>
    <x v="2"/>
    <n v="5.3"/>
    <n v="2.4"/>
    <n v="3.87"/>
    <n v="1.3"/>
    <x v="1"/>
    <n v="10"/>
    <n v="9"/>
    <n v="6"/>
    <m/>
    <m/>
    <m/>
    <m/>
    <m/>
    <m/>
    <m/>
    <m/>
    <m/>
    <m/>
    <m/>
    <m/>
    <m/>
    <m/>
    <m/>
    <m/>
  </r>
  <r>
    <n v="19"/>
    <x v="1"/>
    <n v="4.0999999999999996"/>
    <x v="0"/>
    <n v="6.4"/>
    <n v="0.9"/>
    <n v="2.4700000000000002"/>
    <n v="1.2"/>
    <x v="1"/>
    <n v="7"/>
    <n v="3"/>
    <n v="4"/>
    <m/>
    <m/>
    <m/>
    <m/>
    <m/>
    <m/>
    <m/>
    <m/>
    <m/>
    <m/>
    <m/>
    <m/>
    <m/>
    <m/>
    <m/>
    <m/>
  </r>
  <r>
    <n v="16"/>
    <x v="0"/>
    <n v="3"/>
    <x v="0"/>
    <n v="8.6"/>
    <n v="1.5"/>
    <n v="2.84"/>
    <n v="0.3"/>
    <x v="1"/>
    <n v="6"/>
    <n v="4"/>
    <n v="3"/>
    <m/>
    <m/>
    <m/>
    <m/>
    <m/>
    <m/>
    <m/>
    <m/>
    <m/>
    <m/>
    <m/>
    <m/>
    <m/>
    <m/>
    <m/>
    <m/>
  </r>
  <r>
    <n v="13"/>
    <x v="1"/>
    <n v="3.9"/>
    <x v="0"/>
    <n v="5"/>
    <n v="0.7"/>
    <n v="2.98"/>
    <n v="0.3"/>
    <x v="2"/>
    <n v="10"/>
    <n v="8"/>
    <n v="3"/>
    <m/>
    <m/>
    <m/>
    <m/>
    <m/>
    <m/>
    <m/>
    <m/>
    <m/>
    <m/>
    <m/>
    <m/>
    <m/>
    <m/>
    <m/>
    <m/>
  </r>
  <r>
    <n v="13"/>
    <x v="0"/>
    <n v="7"/>
    <x v="1"/>
    <n v="8.9"/>
    <n v="0.6"/>
    <n v="2.7"/>
    <n v="1.8"/>
    <x v="2"/>
    <n v="5"/>
    <n v="4"/>
    <n v="1"/>
    <m/>
    <m/>
    <m/>
    <m/>
    <m/>
    <m/>
    <m/>
    <m/>
    <m/>
    <m/>
    <m/>
    <m/>
    <m/>
    <m/>
    <m/>
    <m/>
  </r>
  <r>
    <n v="16"/>
    <x v="0"/>
    <n v="3.6"/>
    <x v="2"/>
    <n v="8.9"/>
    <n v="1.9"/>
    <n v="2.11"/>
    <n v="1.7"/>
    <x v="0"/>
    <n v="9"/>
    <n v="5"/>
    <n v="2"/>
    <m/>
    <m/>
    <m/>
    <m/>
    <m/>
    <m/>
    <m/>
    <m/>
    <m/>
    <m/>
    <m/>
    <m/>
    <m/>
    <m/>
    <m/>
    <m/>
  </r>
  <r>
    <n v="15"/>
    <x v="0"/>
    <n v="7.6"/>
    <x v="0"/>
    <n v="7.6"/>
    <n v="2.7"/>
    <n v="2.36"/>
    <n v="1.2"/>
    <x v="2"/>
    <n v="5"/>
    <n v="10"/>
    <n v="3"/>
    <m/>
    <m/>
    <m/>
    <m/>
    <m/>
    <m/>
    <m/>
    <m/>
    <m/>
    <m/>
    <m/>
    <m/>
    <m/>
    <m/>
    <m/>
    <m/>
  </r>
  <r>
    <n v="19"/>
    <x v="0"/>
    <n v="1.3"/>
    <x v="0"/>
    <n v="4.5"/>
    <n v="0.7"/>
    <n v="2.5099999999999998"/>
    <n v="0.8"/>
    <x v="0"/>
    <n v="10"/>
    <n v="9"/>
    <n v="7"/>
    <m/>
    <m/>
    <m/>
    <m/>
    <m/>
    <m/>
    <m/>
    <m/>
    <m/>
    <m/>
    <m/>
    <m/>
    <m/>
    <m/>
    <m/>
    <m/>
  </r>
  <r>
    <n v="17"/>
    <x v="1"/>
    <n v="2.1"/>
    <x v="2"/>
    <n v="7.8"/>
    <n v="2.1"/>
    <n v="3.29"/>
    <n v="1.5"/>
    <x v="0"/>
    <n v="8"/>
    <n v="1"/>
    <n v="7"/>
    <m/>
    <m/>
    <m/>
    <m/>
    <m/>
    <m/>
    <m/>
    <m/>
    <m/>
    <m/>
    <m/>
    <m/>
    <m/>
    <m/>
    <m/>
    <m/>
  </r>
  <r>
    <n v="15"/>
    <x v="1"/>
    <n v="2.7"/>
    <x v="2"/>
    <n v="8.8000000000000007"/>
    <n v="1.9"/>
    <n v="2.14"/>
    <n v="0.4"/>
    <x v="1"/>
    <n v="8"/>
    <n v="10"/>
    <n v="3"/>
    <m/>
    <m/>
    <m/>
    <m/>
    <m/>
    <m/>
    <m/>
    <m/>
    <m/>
    <m/>
    <m/>
    <m/>
    <m/>
    <m/>
    <m/>
    <m/>
  </r>
  <r>
    <n v="13"/>
    <x v="0"/>
    <n v="7.5"/>
    <x v="2"/>
    <n v="8"/>
    <n v="2"/>
    <n v="3.25"/>
    <n v="0.7"/>
    <x v="2"/>
    <n v="9"/>
    <n v="10"/>
    <n v="2"/>
    <m/>
    <m/>
    <m/>
    <m/>
    <m/>
    <m/>
    <m/>
    <m/>
    <m/>
    <m/>
    <m/>
    <m/>
    <m/>
    <m/>
    <m/>
    <m/>
  </r>
  <r>
    <n v="16"/>
    <x v="1"/>
    <n v="6.1"/>
    <x v="2"/>
    <n v="8.8000000000000007"/>
    <n v="1.7"/>
    <n v="3.55"/>
    <n v="1.3"/>
    <x v="2"/>
    <n v="6"/>
    <n v="10"/>
    <n v="9"/>
    <m/>
    <m/>
    <m/>
    <m/>
    <m/>
    <m/>
    <m/>
    <m/>
    <m/>
    <m/>
    <m/>
    <m/>
    <m/>
    <m/>
    <m/>
    <m/>
  </r>
  <r>
    <n v="19"/>
    <x v="0"/>
    <n v="2.4"/>
    <x v="2"/>
    <n v="7.4"/>
    <n v="1.2"/>
    <n v="2.5"/>
    <n v="1.8"/>
    <x v="1"/>
    <n v="2"/>
    <n v="5"/>
    <n v="2"/>
    <m/>
    <m/>
    <m/>
    <m/>
    <m/>
    <m/>
    <m/>
    <m/>
    <m/>
    <m/>
    <m/>
    <m/>
    <m/>
    <m/>
    <m/>
    <m/>
  </r>
  <r>
    <n v="19"/>
    <x v="0"/>
    <n v="2"/>
    <x v="1"/>
    <n v="5.3"/>
    <n v="1.7"/>
    <n v="2.91"/>
    <n v="0.8"/>
    <x v="0"/>
    <n v="9"/>
    <n v="5"/>
    <n v="9"/>
    <m/>
    <m/>
    <m/>
    <m/>
    <m/>
    <m/>
    <m/>
    <m/>
    <m/>
    <m/>
    <m/>
    <m/>
    <m/>
    <m/>
    <m/>
    <m/>
  </r>
  <r>
    <n v="15"/>
    <x v="1"/>
    <n v="7.8"/>
    <x v="1"/>
    <n v="5.3"/>
    <n v="0.5"/>
    <n v="2.3199999999999998"/>
    <n v="0.8"/>
    <x v="0"/>
    <n v="8"/>
    <n v="9"/>
    <n v="3"/>
    <m/>
    <m/>
    <m/>
    <m/>
    <m/>
    <m/>
    <m/>
    <m/>
    <m/>
    <m/>
    <m/>
    <m/>
    <m/>
    <m/>
    <m/>
    <m/>
  </r>
  <r>
    <n v="16"/>
    <x v="1"/>
    <n v="6.8"/>
    <x v="1"/>
    <n v="7.2"/>
    <n v="2.5"/>
    <n v="3.61"/>
    <n v="0.5"/>
    <x v="2"/>
    <n v="10"/>
    <n v="1"/>
    <n v="9"/>
    <m/>
    <m/>
    <m/>
    <m/>
    <m/>
    <m/>
    <m/>
    <m/>
    <m/>
    <m/>
    <m/>
    <m/>
    <m/>
    <m/>
    <m/>
    <m/>
  </r>
  <r>
    <n v="17"/>
    <x v="0"/>
    <n v="8"/>
    <x v="0"/>
    <n v="4.5999999999999996"/>
    <n v="2.6"/>
    <n v="3.06"/>
    <n v="0.1"/>
    <x v="1"/>
    <n v="9"/>
    <n v="2"/>
    <n v="6"/>
    <m/>
    <m/>
    <m/>
    <m/>
    <m/>
    <m/>
    <m/>
    <m/>
    <m/>
    <m/>
    <m/>
    <m/>
    <m/>
    <m/>
    <m/>
    <m/>
  </r>
  <r>
    <n v="13"/>
    <x v="1"/>
    <n v="7.3"/>
    <x v="2"/>
    <n v="8.9"/>
    <n v="2.7"/>
    <n v="3.68"/>
    <n v="1.9"/>
    <x v="0"/>
    <n v="6"/>
    <n v="6"/>
    <n v="10"/>
    <m/>
    <m/>
    <m/>
    <m/>
    <m/>
    <m/>
    <m/>
    <m/>
    <m/>
    <m/>
    <m/>
    <m/>
    <m/>
    <m/>
    <m/>
    <m/>
  </r>
  <r>
    <n v="15"/>
    <x v="1"/>
    <n v="1.5"/>
    <x v="2"/>
    <n v="8.6999999999999993"/>
    <n v="1.2"/>
    <n v="2.52"/>
    <n v="0.1"/>
    <x v="0"/>
    <n v="9"/>
    <n v="7"/>
    <n v="2"/>
    <m/>
    <m/>
    <m/>
    <m/>
    <m/>
    <m/>
    <m/>
    <m/>
    <m/>
    <m/>
    <m/>
    <m/>
    <m/>
    <m/>
    <m/>
    <m/>
  </r>
  <r>
    <n v="15"/>
    <x v="1"/>
    <n v="3.4"/>
    <x v="0"/>
    <n v="5"/>
    <n v="1.8"/>
    <n v="3.2"/>
    <n v="1.5"/>
    <x v="2"/>
    <n v="4"/>
    <n v="5"/>
    <n v="1"/>
    <m/>
    <m/>
    <m/>
    <m/>
    <m/>
    <m/>
    <m/>
    <m/>
    <m/>
    <m/>
    <m/>
    <m/>
    <m/>
    <m/>
    <m/>
    <m/>
  </r>
  <r>
    <n v="15"/>
    <x v="0"/>
    <n v="7.3"/>
    <x v="2"/>
    <n v="4.8"/>
    <n v="2.6"/>
    <n v="3.81"/>
    <n v="1.5"/>
    <x v="0"/>
    <n v="4"/>
    <n v="7"/>
    <n v="4"/>
    <m/>
    <m/>
    <m/>
    <m/>
    <m/>
    <m/>
    <m/>
    <m/>
    <m/>
    <m/>
    <m/>
    <m/>
    <m/>
    <m/>
    <m/>
    <m/>
  </r>
  <r>
    <n v="13"/>
    <x v="1"/>
    <n v="1.9"/>
    <x v="1"/>
    <n v="8.5"/>
    <n v="0.8"/>
    <n v="3.33"/>
    <n v="1.3"/>
    <x v="2"/>
    <n v="5"/>
    <n v="1"/>
    <n v="3"/>
    <m/>
    <m/>
    <m/>
    <m/>
    <m/>
    <m/>
    <m/>
    <m/>
    <m/>
    <m/>
    <m/>
    <m/>
    <m/>
    <m/>
    <m/>
    <m/>
  </r>
  <r>
    <n v="17"/>
    <x v="1"/>
    <n v="3.9"/>
    <x v="0"/>
    <n v="8.1999999999999993"/>
    <n v="1.3"/>
    <n v="3.21"/>
    <n v="1.8"/>
    <x v="2"/>
    <n v="3"/>
    <n v="7"/>
    <n v="7"/>
    <m/>
    <m/>
    <m/>
    <m/>
    <m/>
    <m/>
    <m/>
    <m/>
    <m/>
    <m/>
    <m/>
    <m/>
    <m/>
    <m/>
    <m/>
    <m/>
  </r>
  <r>
    <n v="18"/>
    <x v="0"/>
    <n v="1.3"/>
    <x v="0"/>
    <n v="5.8"/>
    <n v="1.3"/>
    <n v="3.35"/>
    <n v="1.9"/>
    <x v="2"/>
    <n v="9"/>
    <n v="4"/>
    <n v="9"/>
    <m/>
    <m/>
    <m/>
    <m/>
    <m/>
    <m/>
    <m/>
    <m/>
    <m/>
    <m/>
    <m/>
    <m/>
    <m/>
    <m/>
    <m/>
    <m/>
  </r>
  <r>
    <n v="19"/>
    <x v="0"/>
    <n v="4.7"/>
    <x v="1"/>
    <n v="8.1999999999999993"/>
    <n v="1.8"/>
    <n v="2.2599999999999998"/>
    <n v="1"/>
    <x v="0"/>
    <n v="7"/>
    <n v="4"/>
    <n v="7"/>
    <m/>
    <m/>
    <m/>
    <m/>
    <m/>
    <m/>
    <m/>
    <m/>
    <m/>
    <m/>
    <m/>
    <m/>
    <m/>
    <m/>
    <m/>
    <m/>
  </r>
  <r>
    <n v="15"/>
    <x v="0"/>
    <n v="1.9"/>
    <x v="1"/>
    <n v="5.8"/>
    <n v="2.2999999999999998"/>
    <n v="2.4700000000000002"/>
    <n v="0.3"/>
    <x v="1"/>
    <n v="10"/>
    <n v="9"/>
    <n v="4"/>
    <m/>
    <m/>
    <m/>
    <m/>
    <m/>
    <m/>
    <m/>
    <m/>
    <m/>
    <m/>
    <m/>
    <m/>
    <m/>
    <m/>
    <m/>
    <m/>
  </r>
  <r>
    <n v="18"/>
    <x v="1"/>
    <n v="7"/>
    <x v="2"/>
    <n v="6.3"/>
    <n v="1.6"/>
    <n v="2.5499999999999998"/>
    <n v="0.5"/>
    <x v="2"/>
    <n v="10"/>
    <n v="1"/>
    <n v="8"/>
    <m/>
    <m/>
    <m/>
    <m/>
    <m/>
    <m/>
    <m/>
    <m/>
    <m/>
    <m/>
    <m/>
    <m/>
    <m/>
    <m/>
    <m/>
    <m/>
  </r>
  <r>
    <n v="15"/>
    <x v="0"/>
    <n v="6.2"/>
    <x v="1"/>
    <n v="6.3"/>
    <n v="1.7"/>
    <n v="2.2599999999999998"/>
    <n v="1.1000000000000001"/>
    <x v="1"/>
    <n v="9"/>
    <n v="6"/>
    <n v="2"/>
    <m/>
    <m/>
    <m/>
    <m/>
    <m/>
    <m/>
    <m/>
    <m/>
    <m/>
    <m/>
    <m/>
    <m/>
    <m/>
    <m/>
    <m/>
    <m/>
  </r>
  <r>
    <n v="14"/>
    <x v="0"/>
    <n v="3.2"/>
    <x v="1"/>
    <n v="8"/>
    <n v="1.3"/>
    <n v="2.5"/>
    <n v="1.1000000000000001"/>
    <x v="1"/>
    <n v="2"/>
    <n v="7"/>
    <n v="5"/>
    <m/>
    <m/>
    <m/>
    <m/>
    <m/>
    <m/>
    <m/>
    <m/>
    <m/>
    <m/>
    <m/>
    <m/>
    <m/>
    <m/>
    <m/>
    <m/>
  </r>
  <r>
    <n v="18"/>
    <x v="1"/>
    <n v="4.5"/>
    <x v="2"/>
    <n v="7.9"/>
    <n v="1.4"/>
    <n v="2.38"/>
    <n v="0.1"/>
    <x v="1"/>
    <n v="7"/>
    <n v="9"/>
    <n v="1"/>
    <m/>
    <m/>
    <m/>
    <m/>
    <m/>
    <m/>
    <m/>
    <m/>
    <m/>
    <m/>
    <m/>
    <m/>
    <m/>
    <m/>
    <m/>
    <m/>
  </r>
  <r>
    <n v="14"/>
    <x v="1"/>
    <n v="1.1000000000000001"/>
    <x v="2"/>
    <n v="6.1"/>
    <n v="2.5"/>
    <n v="2.8"/>
    <n v="1.8"/>
    <x v="1"/>
    <n v="4"/>
    <n v="10"/>
    <n v="3"/>
    <m/>
    <m/>
    <m/>
    <m/>
    <m/>
    <m/>
    <m/>
    <m/>
    <m/>
    <m/>
    <m/>
    <m/>
    <m/>
    <m/>
    <m/>
    <m/>
  </r>
  <r>
    <n v="13"/>
    <x v="0"/>
    <n v="5.9"/>
    <x v="0"/>
    <n v="8"/>
    <n v="2.8"/>
    <n v="3.21"/>
    <n v="1.6"/>
    <x v="2"/>
    <n v="2"/>
    <n v="8"/>
    <n v="8"/>
    <m/>
    <m/>
    <m/>
    <m/>
    <m/>
    <m/>
    <m/>
    <m/>
    <m/>
    <m/>
    <m/>
    <m/>
    <m/>
    <m/>
    <m/>
    <m/>
  </r>
  <r>
    <n v="17"/>
    <x v="0"/>
    <n v="5.0999999999999996"/>
    <x v="2"/>
    <n v="5"/>
    <n v="2.2000000000000002"/>
    <n v="3.58"/>
    <n v="1.2"/>
    <x v="1"/>
    <n v="6"/>
    <n v="3"/>
    <n v="9"/>
    <m/>
    <m/>
    <m/>
    <m/>
    <m/>
    <m/>
    <m/>
    <m/>
    <m/>
    <m/>
    <m/>
    <m/>
    <m/>
    <m/>
    <m/>
    <m/>
  </r>
  <r>
    <n v="15"/>
    <x v="0"/>
    <n v="1.6"/>
    <x v="0"/>
    <n v="6.9"/>
    <n v="2.2999999999999998"/>
    <n v="3.16"/>
    <n v="0.9"/>
    <x v="2"/>
    <n v="3"/>
    <n v="1"/>
    <n v="5"/>
    <m/>
    <m/>
    <m/>
    <m/>
    <m/>
    <m/>
    <m/>
    <m/>
    <m/>
    <m/>
    <m/>
    <m/>
    <m/>
    <m/>
    <m/>
    <m/>
  </r>
  <r>
    <n v="15"/>
    <x v="1"/>
    <n v="7.2"/>
    <x v="1"/>
    <n v="8"/>
    <n v="1.4"/>
    <n v="3.64"/>
    <n v="0.4"/>
    <x v="2"/>
    <n v="10"/>
    <n v="5"/>
    <n v="7"/>
    <m/>
    <m/>
    <m/>
    <m/>
    <m/>
    <m/>
    <m/>
    <m/>
    <m/>
    <m/>
    <m/>
    <m/>
    <m/>
    <m/>
    <m/>
    <m/>
  </r>
  <r>
    <n v="17"/>
    <x v="1"/>
    <n v="1.4"/>
    <x v="0"/>
    <n v="6.9"/>
    <n v="2.4"/>
    <n v="3.06"/>
    <n v="1.9"/>
    <x v="2"/>
    <n v="4"/>
    <n v="10"/>
    <n v="8"/>
    <m/>
    <m/>
    <m/>
    <m/>
    <m/>
    <m/>
    <m/>
    <m/>
    <m/>
    <m/>
    <m/>
    <m/>
    <m/>
    <m/>
    <m/>
    <m/>
  </r>
  <r>
    <n v="17"/>
    <x v="1"/>
    <n v="6.6"/>
    <x v="0"/>
    <n v="8"/>
    <n v="2.2000000000000002"/>
    <n v="2.21"/>
    <n v="1"/>
    <x v="1"/>
    <n v="10"/>
    <n v="8"/>
    <n v="10"/>
    <m/>
    <m/>
    <m/>
    <m/>
    <m/>
    <m/>
    <m/>
    <m/>
    <m/>
    <m/>
    <m/>
    <m/>
    <m/>
    <m/>
    <m/>
    <m/>
  </r>
  <r>
    <n v="15"/>
    <x v="1"/>
    <n v="3.5"/>
    <x v="0"/>
    <n v="6.3"/>
    <n v="0.8"/>
    <n v="2.71"/>
    <n v="1.8"/>
    <x v="1"/>
    <n v="7"/>
    <n v="4"/>
    <n v="2"/>
    <m/>
    <m/>
    <m/>
    <m/>
    <m/>
    <m/>
    <m/>
    <m/>
    <m/>
    <m/>
    <m/>
    <m/>
    <m/>
    <m/>
    <m/>
    <m/>
  </r>
  <r>
    <n v="17"/>
    <x v="1"/>
    <n v="5.4"/>
    <x v="2"/>
    <n v="6.3"/>
    <n v="2.8"/>
    <n v="3.06"/>
    <n v="0.8"/>
    <x v="0"/>
    <n v="3"/>
    <n v="7"/>
    <n v="9"/>
    <m/>
    <m/>
    <m/>
    <m/>
    <m/>
    <m/>
    <m/>
    <m/>
    <m/>
    <m/>
    <m/>
    <m/>
    <m/>
    <m/>
    <m/>
    <m/>
  </r>
  <r>
    <n v="16"/>
    <x v="1"/>
    <n v="4.2"/>
    <x v="2"/>
    <n v="7.3"/>
    <n v="1.1000000000000001"/>
    <n v="3.1"/>
    <n v="1.6"/>
    <x v="2"/>
    <n v="1"/>
    <n v="6"/>
    <n v="2"/>
    <m/>
    <m/>
    <m/>
    <m/>
    <m/>
    <m/>
    <m/>
    <m/>
    <m/>
    <m/>
    <m/>
    <m/>
    <m/>
    <m/>
    <m/>
    <m/>
  </r>
  <r>
    <n v="13"/>
    <x v="0"/>
    <n v="2.5"/>
    <x v="0"/>
    <n v="8.3000000000000007"/>
    <n v="1.6"/>
    <n v="2.91"/>
    <n v="0.6"/>
    <x v="1"/>
    <n v="10"/>
    <n v="2"/>
    <n v="6"/>
    <m/>
    <m/>
    <m/>
    <m/>
    <m/>
    <m/>
    <m/>
    <m/>
    <m/>
    <m/>
    <m/>
    <m/>
    <m/>
    <m/>
    <m/>
    <m/>
  </r>
  <r>
    <n v="16"/>
    <x v="1"/>
    <n v="3.8"/>
    <x v="1"/>
    <n v="6"/>
    <n v="3"/>
    <n v="2.1"/>
    <n v="0.2"/>
    <x v="0"/>
    <n v="7"/>
    <n v="9"/>
    <n v="1"/>
    <m/>
    <m/>
    <m/>
    <m/>
    <m/>
    <m/>
    <m/>
    <m/>
    <m/>
    <m/>
    <m/>
    <m/>
    <m/>
    <m/>
    <m/>
    <m/>
  </r>
  <r>
    <n v="13"/>
    <x v="0"/>
    <n v="1.8"/>
    <x v="0"/>
    <n v="8.9"/>
    <n v="1.2"/>
    <n v="3.67"/>
    <n v="0.1"/>
    <x v="2"/>
    <n v="2"/>
    <n v="8"/>
    <n v="9"/>
    <m/>
    <m/>
    <m/>
    <m/>
    <m/>
    <m/>
    <m/>
    <m/>
    <m/>
    <m/>
    <m/>
    <m/>
    <m/>
    <m/>
    <m/>
    <m/>
  </r>
  <r>
    <n v="14"/>
    <x v="0"/>
    <n v="5.4"/>
    <x v="0"/>
    <n v="5.6"/>
    <n v="1.8"/>
    <n v="3.01"/>
    <n v="0.9"/>
    <x v="0"/>
    <n v="10"/>
    <n v="6"/>
    <n v="8"/>
    <m/>
    <m/>
    <m/>
    <m/>
    <m/>
    <m/>
    <m/>
    <m/>
    <m/>
    <m/>
    <m/>
    <m/>
    <m/>
    <m/>
    <m/>
    <m/>
  </r>
  <r>
    <n v="14"/>
    <x v="1"/>
    <n v="7.7"/>
    <x v="0"/>
    <n v="6.1"/>
    <n v="0.8"/>
    <n v="3.47"/>
    <n v="1.5"/>
    <x v="2"/>
    <n v="9"/>
    <n v="10"/>
    <n v="9"/>
    <m/>
    <m/>
    <m/>
    <m/>
    <m/>
    <m/>
    <m/>
    <m/>
    <m/>
    <m/>
    <m/>
    <m/>
    <m/>
    <m/>
    <m/>
    <m/>
  </r>
  <r>
    <n v="18"/>
    <x v="1"/>
    <n v="4.0999999999999996"/>
    <x v="0"/>
    <n v="8"/>
    <n v="1.7"/>
    <n v="2.29"/>
    <n v="1.4"/>
    <x v="0"/>
    <n v="2"/>
    <n v="1"/>
    <n v="10"/>
    <m/>
    <m/>
    <m/>
    <m/>
    <m/>
    <m/>
    <m/>
    <m/>
    <m/>
    <m/>
    <m/>
    <m/>
    <m/>
    <m/>
    <m/>
    <m/>
  </r>
  <r>
    <n v="15"/>
    <x v="1"/>
    <n v="6.6"/>
    <x v="2"/>
    <n v="4.9000000000000004"/>
    <n v="3"/>
    <n v="2.99"/>
    <n v="0.9"/>
    <x v="2"/>
    <n v="4"/>
    <n v="8"/>
    <n v="3"/>
    <m/>
    <m/>
    <m/>
    <m/>
    <m/>
    <m/>
    <m/>
    <m/>
    <m/>
    <m/>
    <m/>
    <m/>
    <m/>
    <m/>
    <m/>
    <m/>
  </r>
  <r>
    <n v="16"/>
    <x v="0"/>
    <n v="2.2999999999999998"/>
    <x v="2"/>
    <n v="4.0999999999999996"/>
    <n v="0.8"/>
    <n v="3.18"/>
    <n v="1.7"/>
    <x v="2"/>
    <n v="5"/>
    <n v="3"/>
    <n v="8"/>
    <m/>
    <m/>
    <m/>
    <m/>
    <m/>
    <m/>
    <m/>
    <m/>
    <m/>
    <m/>
    <m/>
    <m/>
    <m/>
    <m/>
    <m/>
    <m/>
  </r>
  <r>
    <n v="17"/>
    <x v="1"/>
    <n v="7.5"/>
    <x v="0"/>
    <n v="5.9"/>
    <n v="2.9"/>
    <n v="3.71"/>
    <n v="1.7"/>
    <x v="0"/>
    <n v="3"/>
    <n v="1"/>
    <n v="10"/>
    <m/>
    <m/>
    <m/>
    <m/>
    <m/>
    <m/>
    <m/>
    <m/>
    <m/>
    <m/>
    <m/>
    <m/>
    <m/>
    <m/>
    <m/>
    <m/>
  </r>
  <r>
    <n v="18"/>
    <x v="0"/>
    <n v="7.1"/>
    <x v="0"/>
    <n v="8"/>
    <n v="2.9"/>
    <n v="2.59"/>
    <n v="1.2"/>
    <x v="1"/>
    <n v="10"/>
    <n v="8"/>
    <n v="5"/>
    <m/>
    <m/>
    <m/>
    <m/>
    <m/>
    <m/>
    <m/>
    <m/>
    <m/>
    <m/>
    <m/>
    <m/>
    <m/>
    <m/>
    <m/>
    <m/>
  </r>
  <r>
    <n v="17"/>
    <x v="1"/>
    <n v="1.7"/>
    <x v="2"/>
    <n v="6.3"/>
    <n v="1.5"/>
    <n v="2.66"/>
    <n v="1.8"/>
    <x v="0"/>
    <n v="1"/>
    <n v="4"/>
    <n v="10"/>
    <m/>
    <m/>
    <m/>
    <m/>
    <m/>
    <m/>
    <m/>
    <m/>
    <m/>
    <m/>
    <m/>
    <m/>
    <m/>
    <m/>
    <m/>
    <m/>
  </r>
  <r>
    <m/>
    <x v="2"/>
    <m/>
    <x v="3"/>
    <m/>
    <m/>
    <m/>
    <m/>
    <x v="3"/>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640B01-F5DF-4281-9C1D-6B126D1140F8}"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Platform">
  <location ref="G25:H29" firstHeaderRow="1" firstDataRow="1" firstDataCol="1"/>
  <pivotFields count="28">
    <pivotField showAll="0"/>
    <pivotField showAll="0">
      <items count="4">
        <item x="1"/>
        <item x="0"/>
        <item x="2"/>
        <item t="default"/>
      </items>
    </pivotField>
    <pivotField showAll="0"/>
    <pivotField showAll="0">
      <items count="5">
        <item x="2"/>
        <item x="0"/>
        <item x="1"/>
        <item x="3"/>
        <item t="default"/>
      </items>
    </pivotField>
    <pivotField showAll="0"/>
    <pivotField showAll="0"/>
    <pivotField dataField="1" showAll="0"/>
    <pivotField showAll="0"/>
    <pivotField axis="axisRow" showAll="0">
      <items count="5">
        <item x="1"/>
        <item x="0"/>
        <item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Average of Academic_Performance" fld="6" subtotal="average" baseField="8" baseItem="0"/>
  </dataFields>
  <formats count="2">
    <format dxfId="1">
      <pivotArea grandRow="1" outline="0" collapsedLevelsAreSubtotals="1" fieldPosition="0"/>
    </format>
    <format dxfId="0">
      <pivotArea collapsedLevelsAreSubtotals="1" fieldPosition="0">
        <references count="1">
          <reference field="8" count="0"/>
        </references>
      </pivotArea>
    </format>
  </formats>
  <chartFormats count="2">
    <chartFormat chart="15"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AC6257-53E9-4265-B960-FA06B8AD159A}"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Platform">
  <location ref="A25:B29" firstHeaderRow="1" firstDataRow="1" firstDataCol="1"/>
  <pivotFields count="28">
    <pivotField showAll="0"/>
    <pivotField axis="axisRow" showAll="0">
      <items count="4">
        <item x="1"/>
        <item x="0"/>
        <item x="2"/>
        <item t="default"/>
      </items>
    </pivotField>
    <pivotField showAll="0"/>
    <pivotField showAll="0">
      <items count="5">
        <item x="2"/>
        <item x="0"/>
        <item x="1"/>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Average of Anxiety_Level" fld="10" subtotal="average" baseField="1" baseItem="0"/>
  </dataFields>
  <formats count="2">
    <format dxfId="3">
      <pivotArea grandRow="1" outline="0" collapsedLevelsAreSubtotals="1" fieldPosition="0"/>
    </format>
    <format dxfId="2">
      <pivotArea collapsedLevelsAreSubtotals="1" fieldPosition="0">
        <references count="1">
          <reference field="1" count="2">
            <x v="0"/>
            <x v="1"/>
          </reference>
        </references>
      </pivotArea>
    </format>
  </formats>
  <chartFormats count="1">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4E9ABB-BC06-4E68-BC9E-F3F7D94EE8AD}"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Platform">
  <location ref="G3:I7" firstHeaderRow="0" firstDataRow="1" firstDataCol="1"/>
  <pivotFields count="28">
    <pivotField showAll="0"/>
    <pivotField axis="axisRow" showAll="0">
      <items count="4">
        <item x="1"/>
        <item x="0"/>
        <item x="2"/>
        <item t="default"/>
      </items>
    </pivotField>
    <pivotField dataField="1" showAll="0"/>
    <pivotField showAll="0">
      <items count="5">
        <item x="2"/>
        <item x="0"/>
        <item x="1"/>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Fields count="1">
    <field x="-2"/>
  </colFields>
  <colItems count="2">
    <i>
      <x/>
    </i>
    <i i="1">
      <x v="1"/>
    </i>
  </colItems>
  <dataFields count="2">
    <dataField name="Average  Sleep_Hours" fld="4" subtotal="average" baseField="3" baseItem="0"/>
    <dataField name="Average Daily use" fld="2" subtotal="average" baseField="3" baseItem="0"/>
  </dataFields>
  <formats count="2">
    <format dxfId="5">
      <pivotArea grandRow="1" outline="0" collapsedLevelsAreSubtotals="1" fieldPosition="0"/>
    </format>
    <format dxfId="4">
      <pivotArea collapsedLevelsAreSubtotals="1" fieldPosition="0">
        <references count="1">
          <reference field="1" count="2">
            <x v="0"/>
            <x v="1"/>
          </reference>
        </references>
      </pivotArea>
    </format>
  </format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D335CC-264F-4726-A51E-10736F2CDF61}"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latform">
  <location ref="A3:C8" firstHeaderRow="0" firstDataRow="1" firstDataCol="1"/>
  <pivotFields count="28">
    <pivotField showAll="0"/>
    <pivotField showAll="0">
      <items count="4">
        <item x="1"/>
        <item x="0"/>
        <item x="2"/>
        <item t="default"/>
      </items>
    </pivotField>
    <pivotField dataField="1" showAll="0"/>
    <pivotField axis="axisRow" showAll="0">
      <items count="5">
        <item x="2"/>
        <item x="0"/>
        <item x="1"/>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Fields count="1">
    <field x="-2"/>
  </colFields>
  <colItems count="2">
    <i>
      <x/>
    </i>
    <i i="1">
      <x v="1"/>
    </i>
  </colItems>
  <dataFields count="2">
    <dataField name="Average  Sleep_Hours" fld="4" subtotal="average" baseField="3" baseItem="0"/>
    <dataField name="Average Daily use" fld="2" subtotal="average" baseField="3" baseItem="0"/>
  </dataFields>
  <formats count="3">
    <format dxfId="8">
      <pivotArea collapsedLevelsAreSubtotals="1" fieldPosition="0">
        <references count="2">
          <reference field="4294967294" count="1" selected="0">
            <x v="0"/>
          </reference>
          <reference field="3" count="0"/>
        </references>
      </pivotArea>
    </format>
    <format dxfId="7">
      <pivotArea collapsedLevelsAreSubtotals="1" fieldPosition="0">
        <references count="2">
          <reference field="4294967294" count="1" selected="0">
            <x v="1"/>
          </reference>
          <reference field="3" count="0"/>
        </references>
      </pivotArea>
    </format>
    <format dxfId="6">
      <pivotArea grandRow="1"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_Usage" xr10:uid="{DCCB24CF-79D7-4FE9-83E3-7FAB06B5B90F}" sourceName="Platform_Usage">
  <pivotTables>
    <pivotTable tabId="2" name="PivotTable4"/>
    <pivotTable tabId="2" name="PivotTable1"/>
    <pivotTable tabId="2" name="PivotTable2"/>
    <pivotTable tabId="2" name="PivotTable3"/>
  </pivotTables>
  <data>
    <tabular pivotCacheId="243749853">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31E8F06-BBF1-47F6-80BA-BC7BC61DB2A1}" sourceName="Gender">
  <pivotTables>
    <pivotTable tabId="2" name="PivotTable1"/>
    <pivotTable tabId="2" name="PivotTable2"/>
    <pivotTable tabId="2" name="PivotTable3"/>
    <pivotTable tabId="2" name="PivotTable4"/>
  </pivotTables>
  <data>
    <tabular pivotCacheId="243749853">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_Usage" xr10:uid="{974B6CC8-F708-4B98-9B21-25AD957EC28D}" cache="Slicer_Platform_Usage" caption="Platform_Usage" rowHeight="234950"/>
  <slicer name="Gender" xr10:uid="{25C761A7-2D3B-46CA-A86F-1CA77D0A892A}"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_Usage 1" xr10:uid="{7F8EE172-9ED9-4640-A814-ACF3FD174558}" cache="Slicer_Platform_Usage" caption="Platform_Usage" style="SlicerStyleLight6" rowHeight="234950"/>
  <slicer name="Gender 1" xr10:uid="{4ECB9FD7-1CEB-4857-821F-99703930CEAB}" cache="Slicer_Gender" caption="Gender"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20C39-BC54-455C-9DFF-4966D6D18D5A}">
  <dimension ref="A3:I29"/>
  <sheetViews>
    <sheetView zoomScale="62" workbookViewId="0">
      <selection activeCell="A4" sqref="A4"/>
    </sheetView>
  </sheetViews>
  <sheetFormatPr defaultRowHeight="14.4" x14ac:dyDescent="0.3"/>
  <cols>
    <col min="1" max="1" width="14.77734375" bestFit="1" customWidth="1"/>
    <col min="2" max="2" width="30.21875" bestFit="1" customWidth="1"/>
    <col min="3" max="3" width="21.77734375" bestFit="1" customWidth="1"/>
    <col min="7" max="7" width="14.77734375" bestFit="1" customWidth="1"/>
    <col min="8" max="8" width="26.44140625" bestFit="1" customWidth="1"/>
    <col min="9" max="9" width="21.77734375" bestFit="1" customWidth="1"/>
  </cols>
  <sheetData>
    <row r="3" spans="1:9" x14ac:dyDescent="0.3">
      <c r="A3" s="4" t="s">
        <v>24</v>
      </c>
      <c r="B3" t="s">
        <v>23</v>
      </c>
      <c r="C3" t="s">
        <v>22</v>
      </c>
      <c r="G3" s="4" t="s">
        <v>24</v>
      </c>
      <c r="H3" t="s">
        <v>23</v>
      </c>
      <c r="I3" t="s">
        <v>22</v>
      </c>
    </row>
    <row r="4" spans="1:9" x14ac:dyDescent="0.3">
      <c r="A4" s="5" t="s">
        <v>7</v>
      </c>
      <c r="B4" s="6">
        <v>6.60952380952381</v>
      </c>
      <c r="C4" s="6">
        <v>4.5349206349206348</v>
      </c>
      <c r="G4" s="5" t="s">
        <v>3</v>
      </c>
      <c r="H4" s="6">
        <v>6.7344444444444411</v>
      </c>
      <c r="I4" s="6">
        <v>4.3444444444444441</v>
      </c>
    </row>
    <row r="5" spans="1:9" x14ac:dyDescent="0.3">
      <c r="A5" s="5" t="s">
        <v>1</v>
      </c>
      <c r="B5" s="6">
        <v>6.4859154929577461</v>
      </c>
      <c r="C5" s="6">
        <v>4.4042253521126771</v>
      </c>
      <c r="G5" s="5" t="s">
        <v>0</v>
      </c>
      <c r="H5" s="6">
        <v>6.3590909090909085</v>
      </c>
      <c r="I5" s="6">
        <v>4.3481818181818186</v>
      </c>
    </row>
    <row r="6" spans="1:9" x14ac:dyDescent="0.3">
      <c r="A6" s="5" t="s">
        <v>4</v>
      </c>
      <c r="B6" s="6">
        <v>6.4954545454545443</v>
      </c>
      <c r="C6" s="6">
        <v>4.1045454545454545</v>
      </c>
      <c r="G6" s="5" t="s">
        <v>20</v>
      </c>
    </row>
    <row r="7" spans="1:9" x14ac:dyDescent="0.3">
      <c r="A7" s="5" t="s">
        <v>20</v>
      </c>
      <c r="B7" s="6"/>
      <c r="C7" s="6"/>
      <c r="G7" s="5" t="s">
        <v>21</v>
      </c>
      <c r="H7" s="6">
        <v>6.5279999999999996</v>
      </c>
      <c r="I7" s="6">
        <v>4.3465000000000007</v>
      </c>
    </row>
    <row r="8" spans="1:9" x14ac:dyDescent="0.3">
      <c r="A8" s="5" t="s">
        <v>21</v>
      </c>
      <c r="B8" s="6">
        <v>6.5280000000000022</v>
      </c>
      <c r="C8" s="6">
        <v>4.3464999999999989</v>
      </c>
    </row>
    <row r="25" spans="1:8" x14ac:dyDescent="0.3">
      <c r="A25" s="4" t="s">
        <v>24</v>
      </c>
      <c r="B25" t="s">
        <v>25</v>
      </c>
      <c r="G25" s="4" t="s">
        <v>24</v>
      </c>
      <c r="H25" t="s">
        <v>26</v>
      </c>
    </row>
    <row r="26" spans="1:8" x14ac:dyDescent="0.3">
      <c r="A26" s="5" t="s">
        <v>3</v>
      </c>
      <c r="B26" s="6">
        <v>5.7111111111111112</v>
      </c>
      <c r="G26" s="5" t="s">
        <v>5</v>
      </c>
      <c r="H26" s="6">
        <v>2.9479032258064519</v>
      </c>
    </row>
    <row r="27" spans="1:8" x14ac:dyDescent="0.3">
      <c r="A27" s="5" t="s">
        <v>0</v>
      </c>
      <c r="B27" s="6">
        <v>5.3272727272727272</v>
      </c>
      <c r="G27" s="5" t="s">
        <v>2</v>
      </c>
      <c r="H27" s="6">
        <v>2.9037931034482751</v>
      </c>
    </row>
    <row r="28" spans="1:8" x14ac:dyDescent="0.3">
      <c r="A28" s="5" t="s">
        <v>20</v>
      </c>
      <c r="G28" s="5" t="s">
        <v>6</v>
      </c>
      <c r="H28" s="6">
        <v>3.0937499999999991</v>
      </c>
    </row>
    <row r="29" spans="1:8" x14ac:dyDescent="0.3">
      <c r="A29" s="5" t="s">
        <v>21</v>
      </c>
      <c r="B29" s="6">
        <v>5.5</v>
      </c>
      <c r="G29" s="5" t="s">
        <v>21</v>
      </c>
      <c r="H29" s="6">
        <v>2.9934500000000002</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584F2-2A5D-41CF-A333-47F440520B13}">
  <dimension ref="C26:R44"/>
  <sheetViews>
    <sheetView tabSelected="1" zoomScale="41" workbookViewId="0">
      <selection activeCell="AE15" sqref="AE15"/>
    </sheetView>
  </sheetViews>
  <sheetFormatPr defaultRowHeight="14.4" x14ac:dyDescent="0.3"/>
  <sheetData>
    <row r="26" spans="3:18" x14ac:dyDescent="0.3">
      <c r="C26" s="16" t="s">
        <v>42</v>
      </c>
      <c r="D26" s="16"/>
      <c r="E26" s="16"/>
      <c r="F26" s="16"/>
      <c r="G26" s="16"/>
      <c r="H26" s="16"/>
      <c r="I26" s="16"/>
      <c r="J26" s="16"/>
      <c r="N26" s="15" t="s">
        <v>43</v>
      </c>
      <c r="O26" s="15"/>
      <c r="P26" s="15"/>
      <c r="Q26" s="15"/>
      <c r="R26" s="15"/>
    </row>
    <row r="44" spans="3:9" x14ac:dyDescent="0.3">
      <c r="C44" s="15" t="s">
        <v>44</v>
      </c>
      <c r="D44" s="15"/>
      <c r="E44" s="15"/>
      <c r="F44" s="15"/>
      <c r="G44" s="15"/>
      <c r="H44" s="15"/>
      <c r="I44" s="15"/>
    </row>
  </sheetData>
  <mergeCells count="3">
    <mergeCell ref="C44:I44"/>
    <mergeCell ref="C26:J26"/>
    <mergeCell ref="N26:R2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0C0DD-A096-42C2-82C1-FD52F4190495}">
  <dimension ref="A1:J32"/>
  <sheetViews>
    <sheetView topLeftCell="A17" workbookViewId="0">
      <selection activeCell="F23" sqref="F23"/>
    </sheetView>
  </sheetViews>
  <sheetFormatPr defaultRowHeight="14.4" x14ac:dyDescent="0.3"/>
  <cols>
    <col min="8" max="8" width="10.21875" bestFit="1" customWidth="1"/>
    <col min="9" max="9" width="12.109375" bestFit="1" customWidth="1"/>
    <col min="10" max="10" width="23.21875" bestFit="1" customWidth="1"/>
  </cols>
  <sheetData>
    <row r="1" spans="1:10" x14ac:dyDescent="0.3">
      <c r="A1" s="7" t="s">
        <v>27</v>
      </c>
    </row>
    <row r="2" spans="1:10" x14ac:dyDescent="0.3">
      <c r="A2" s="17" t="s">
        <v>28</v>
      </c>
      <c r="B2" s="18"/>
      <c r="C2" s="18"/>
      <c r="D2" s="18"/>
      <c r="E2" s="18"/>
      <c r="F2" s="18"/>
      <c r="G2" s="18"/>
      <c r="H2" s="18"/>
      <c r="I2" s="12" t="s">
        <v>29</v>
      </c>
      <c r="J2" s="11" t="s">
        <v>30</v>
      </c>
    </row>
    <row r="3" spans="1:10" x14ac:dyDescent="0.3">
      <c r="A3" s="8"/>
      <c r="B3" s="9"/>
      <c r="C3" s="9"/>
      <c r="D3" s="9"/>
      <c r="E3" s="9"/>
      <c r="F3" s="9"/>
      <c r="G3" s="9"/>
      <c r="H3" s="9"/>
      <c r="I3" s="9">
        <v>16</v>
      </c>
      <c r="J3" s="10">
        <f>_xlfn.XLOOKUP(I3,Ahmed_ExcelDashboard!A:A,Ahmed_ExcelDashboard!G:G)</f>
        <v>2.4</v>
      </c>
    </row>
    <row r="4" spans="1:10" ht="15" thickBot="1" x14ac:dyDescent="0.35"/>
    <row r="5" spans="1:10" x14ac:dyDescent="0.3">
      <c r="A5" s="19" t="s">
        <v>31</v>
      </c>
      <c r="B5" s="20"/>
    </row>
    <row r="6" spans="1:10" x14ac:dyDescent="0.3">
      <c r="A6" s="17" t="s">
        <v>32</v>
      </c>
      <c r="B6" s="18"/>
      <c r="C6" s="18"/>
      <c r="D6" s="18"/>
      <c r="E6" s="18"/>
      <c r="F6" s="18"/>
      <c r="G6" s="18"/>
      <c r="H6" s="12" t="s">
        <v>29</v>
      </c>
      <c r="I6" s="11" t="s">
        <v>33</v>
      </c>
    </row>
    <row r="7" spans="1:10" x14ac:dyDescent="0.3">
      <c r="A7" s="8"/>
      <c r="B7" s="9"/>
      <c r="C7" s="9"/>
      <c r="D7" s="9"/>
      <c r="E7" s="9"/>
      <c r="F7" s="9"/>
      <c r="G7" s="9"/>
      <c r="H7" s="9">
        <v>16</v>
      </c>
      <c r="I7" s="10">
        <f>INDEX(Ahmed_ExcelDashboard!J:J,MATCH(Formulas!H7,Ahmed_ExcelDashboard!A:A))</f>
        <v>4</v>
      </c>
    </row>
    <row r="8" spans="1:10" ht="15" thickBot="1" x14ac:dyDescent="0.35"/>
    <row r="9" spans="1:10" x14ac:dyDescent="0.3">
      <c r="A9" s="19" t="s">
        <v>35</v>
      </c>
      <c r="B9" s="20"/>
    </row>
    <row r="10" spans="1:10" x14ac:dyDescent="0.3">
      <c r="A10" s="21" t="s">
        <v>34</v>
      </c>
      <c r="B10" s="22"/>
      <c r="C10" s="22"/>
      <c r="D10" s="22"/>
      <c r="E10" s="22"/>
      <c r="F10" s="22"/>
      <c r="G10" s="22"/>
      <c r="H10" s="22"/>
      <c r="I10" s="13" t="s">
        <v>36</v>
      </c>
      <c r="J10" s="13" t="s">
        <v>37</v>
      </c>
    </row>
    <row r="11" spans="1:10" x14ac:dyDescent="0.3">
      <c r="I11" s="14">
        <v>2</v>
      </c>
      <c r="J11" s="14" t="str">
        <f>IF(I11&gt;=5,"HIGH RISK","LOW RISK")</f>
        <v>LOW RISK</v>
      </c>
    </row>
    <row r="12" spans="1:10" x14ac:dyDescent="0.3">
      <c r="I12" s="14">
        <v>8</v>
      </c>
      <c r="J12" s="14" t="str">
        <f t="shared" ref="J12:J23" si="0">IF(I12&gt;=5,"HIGH RISK","LOW RISK")</f>
        <v>HIGH RISK</v>
      </c>
    </row>
    <row r="13" spans="1:10" x14ac:dyDescent="0.3">
      <c r="I13" s="14">
        <v>2</v>
      </c>
      <c r="J13" s="14" t="str">
        <f t="shared" si="0"/>
        <v>LOW RISK</v>
      </c>
    </row>
    <row r="14" spans="1:10" x14ac:dyDescent="0.3">
      <c r="I14" s="14">
        <v>1</v>
      </c>
      <c r="J14" s="14" t="str">
        <f t="shared" si="0"/>
        <v>LOW RISK</v>
      </c>
    </row>
    <row r="15" spans="1:10" x14ac:dyDescent="0.3">
      <c r="I15" s="14">
        <v>3</v>
      </c>
      <c r="J15" s="14" t="str">
        <f t="shared" si="0"/>
        <v>LOW RISK</v>
      </c>
    </row>
    <row r="16" spans="1:10" x14ac:dyDescent="0.3">
      <c r="I16" s="14">
        <v>3</v>
      </c>
      <c r="J16" s="14" t="str">
        <f t="shared" si="0"/>
        <v>LOW RISK</v>
      </c>
    </row>
    <row r="17" spans="1:10" x14ac:dyDescent="0.3">
      <c r="I17" s="14">
        <v>2</v>
      </c>
      <c r="J17" s="14" t="str">
        <f t="shared" si="0"/>
        <v>LOW RISK</v>
      </c>
    </row>
    <row r="18" spans="1:10" x14ac:dyDescent="0.3">
      <c r="I18" s="14">
        <v>6</v>
      </c>
      <c r="J18" s="14" t="str">
        <f t="shared" si="0"/>
        <v>HIGH RISK</v>
      </c>
    </row>
    <row r="19" spans="1:10" x14ac:dyDescent="0.3">
      <c r="I19" s="14">
        <v>1</v>
      </c>
      <c r="J19" s="14" t="str">
        <f t="shared" si="0"/>
        <v>LOW RISK</v>
      </c>
    </row>
    <row r="20" spans="1:10" x14ac:dyDescent="0.3">
      <c r="I20" s="14">
        <v>1</v>
      </c>
      <c r="J20" s="14" t="str">
        <f t="shared" si="0"/>
        <v>LOW RISK</v>
      </c>
    </row>
    <row r="21" spans="1:10" x14ac:dyDescent="0.3">
      <c r="I21" s="14">
        <v>5</v>
      </c>
      <c r="J21" s="14" t="str">
        <f t="shared" si="0"/>
        <v>HIGH RISK</v>
      </c>
    </row>
    <row r="22" spans="1:10" x14ac:dyDescent="0.3">
      <c r="I22" s="14">
        <v>1</v>
      </c>
      <c r="J22" s="14" t="str">
        <f t="shared" si="0"/>
        <v>LOW RISK</v>
      </c>
    </row>
    <row r="23" spans="1:10" x14ac:dyDescent="0.3">
      <c r="I23" s="14">
        <v>5</v>
      </c>
      <c r="J23" s="14" t="str">
        <f t="shared" si="0"/>
        <v>HIGH RISK</v>
      </c>
    </row>
    <row r="24" spans="1:10" ht="15" thickBot="1" x14ac:dyDescent="0.35"/>
    <row r="25" spans="1:10" x14ac:dyDescent="0.3">
      <c r="A25" s="7" t="s">
        <v>38</v>
      </c>
    </row>
    <row r="26" spans="1:10" x14ac:dyDescent="0.3">
      <c r="A26" s="21" t="s">
        <v>39</v>
      </c>
      <c r="B26" s="22"/>
      <c r="C26" s="22"/>
      <c r="D26" s="22"/>
      <c r="E26" s="22"/>
      <c r="F26" s="23"/>
      <c r="G26" s="24" t="s">
        <v>40</v>
      </c>
      <c r="H26" s="24"/>
      <c r="I26" s="24"/>
      <c r="J26" s="13" t="s">
        <v>41</v>
      </c>
    </row>
    <row r="27" spans="1:10" x14ac:dyDescent="0.3">
      <c r="G27" s="14"/>
      <c r="H27" s="14">
        <v>3.5</v>
      </c>
      <c r="I27" s="14"/>
      <c r="J27" s="14" t="str">
        <f>IF(H27&gt;3.5,"Excellent",IF(H27&gt;=2.5,"Average","Poor"))</f>
        <v>Average</v>
      </c>
    </row>
    <row r="28" spans="1:10" x14ac:dyDescent="0.3">
      <c r="G28" s="14"/>
      <c r="H28" s="14">
        <v>2</v>
      </c>
      <c r="I28" s="14"/>
      <c r="J28" s="14" t="str">
        <f t="shared" ref="J28:J32" si="1">IF(H28&gt;3.5,"Excellent",IF(H28&gt;=2.5,"Average","Poor"))</f>
        <v>Poor</v>
      </c>
    </row>
    <row r="29" spans="1:10" x14ac:dyDescent="0.3">
      <c r="G29" s="14"/>
      <c r="H29" s="14">
        <v>1</v>
      </c>
      <c r="I29" s="14"/>
      <c r="J29" s="14" t="str">
        <f t="shared" si="1"/>
        <v>Poor</v>
      </c>
    </row>
    <row r="30" spans="1:10" x14ac:dyDescent="0.3">
      <c r="G30" s="14"/>
      <c r="H30" s="14">
        <v>4</v>
      </c>
      <c r="I30" s="14"/>
      <c r="J30" s="14" t="str">
        <f t="shared" si="1"/>
        <v>Excellent</v>
      </c>
    </row>
    <row r="31" spans="1:10" x14ac:dyDescent="0.3">
      <c r="G31" s="14"/>
      <c r="H31" s="14">
        <v>2</v>
      </c>
      <c r="I31" s="14"/>
      <c r="J31" s="14" t="str">
        <f t="shared" si="1"/>
        <v>Poor</v>
      </c>
    </row>
    <row r="32" spans="1:10" x14ac:dyDescent="0.3">
      <c r="G32" s="14"/>
      <c r="H32" s="14">
        <v>6</v>
      </c>
      <c r="I32" s="14"/>
      <c r="J32" s="14" t="str">
        <f t="shared" si="1"/>
        <v>Excellent</v>
      </c>
    </row>
  </sheetData>
  <mergeCells count="7">
    <mergeCell ref="A26:F26"/>
    <mergeCell ref="G26:I26"/>
    <mergeCell ref="A2:H2"/>
    <mergeCell ref="A5:B5"/>
    <mergeCell ref="A6:G6"/>
    <mergeCell ref="A10:H10"/>
    <mergeCell ref="A9:B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D622B-B604-4A03-990D-B1DF590742F0}">
  <dimension ref="A1:AB201"/>
  <sheetViews>
    <sheetView topLeftCell="K1" workbookViewId="0">
      <selection activeCell="N4" sqref="N4"/>
    </sheetView>
  </sheetViews>
  <sheetFormatPr defaultRowHeight="14.4" x14ac:dyDescent="0.3"/>
  <cols>
    <col min="1" max="1" width="4" bestFit="1" customWidth="1"/>
    <col min="2" max="2" width="6.88671875" bestFit="1" customWidth="1"/>
    <col min="3" max="3" width="23" bestFit="1" customWidth="1"/>
    <col min="4" max="4" width="14.21875" bestFit="1" customWidth="1"/>
    <col min="5" max="5" width="11.109375" bestFit="1" customWidth="1"/>
    <col min="6" max="6" width="23.6640625" bestFit="1" customWidth="1"/>
    <col min="7" max="7" width="20.6640625" bestFit="1" customWidth="1"/>
    <col min="8" max="8" width="14.5546875" bestFit="1" customWidth="1"/>
    <col min="9" max="9" width="21.33203125" bestFit="1" customWidth="1"/>
    <col min="10" max="10" width="11" bestFit="1" customWidth="1"/>
    <col min="11" max="11" width="12.21875" bestFit="1" customWidth="1"/>
    <col min="12" max="12" width="14" bestFit="1" customWidth="1"/>
    <col min="13" max="13" width="15.44140625" bestFit="1" customWidth="1"/>
  </cols>
  <sheetData>
    <row r="1" spans="1:28" x14ac:dyDescent="0.3">
      <c r="A1" s="2" t="s">
        <v>8</v>
      </c>
      <c r="B1" s="3" t="s">
        <v>9</v>
      </c>
      <c r="C1" s="3" t="s">
        <v>10</v>
      </c>
      <c r="D1" s="3" t="s">
        <v>11</v>
      </c>
      <c r="E1" s="3" t="s">
        <v>12</v>
      </c>
      <c r="F1" s="3" t="s">
        <v>13</v>
      </c>
      <c r="G1" s="3" t="s">
        <v>14</v>
      </c>
      <c r="H1" s="3" t="s">
        <v>15</v>
      </c>
      <c r="I1" s="3" t="s">
        <v>16</v>
      </c>
      <c r="J1" s="3" t="s">
        <v>17</v>
      </c>
      <c r="K1" s="3" t="s">
        <v>18</v>
      </c>
      <c r="L1" s="1" t="s">
        <v>19</v>
      </c>
      <c r="AB1" t="str">
        <f>PROPER(N1)</f>
        <v/>
      </c>
    </row>
    <row r="2" spans="1:28" x14ac:dyDescent="0.3">
      <c r="A2">
        <v>14</v>
      </c>
      <c r="B2" t="s">
        <v>0</v>
      </c>
      <c r="C2">
        <v>7.9</v>
      </c>
      <c r="D2" t="s">
        <v>1</v>
      </c>
      <c r="E2">
        <v>7.4</v>
      </c>
      <c r="F2">
        <v>2.9</v>
      </c>
      <c r="G2">
        <v>3.01</v>
      </c>
      <c r="H2">
        <v>1.5</v>
      </c>
      <c r="I2" t="s">
        <v>2</v>
      </c>
      <c r="J2">
        <v>2</v>
      </c>
      <c r="K2">
        <v>2</v>
      </c>
      <c r="L2">
        <v>1</v>
      </c>
    </row>
    <row r="3" spans="1:28" x14ac:dyDescent="0.3">
      <c r="A3">
        <v>19</v>
      </c>
      <c r="B3" t="s">
        <v>3</v>
      </c>
      <c r="C3">
        <v>1.9</v>
      </c>
      <c r="D3" t="s">
        <v>4</v>
      </c>
      <c r="E3">
        <v>8</v>
      </c>
      <c r="F3">
        <v>2.9</v>
      </c>
      <c r="G3">
        <v>3.22</v>
      </c>
      <c r="H3">
        <v>0.8</v>
      </c>
      <c r="I3" t="s">
        <v>5</v>
      </c>
      <c r="J3">
        <v>8</v>
      </c>
      <c r="K3">
        <v>1</v>
      </c>
      <c r="L3">
        <v>10</v>
      </c>
    </row>
    <row r="4" spans="1:28" x14ac:dyDescent="0.3">
      <c r="A4">
        <v>17</v>
      </c>
      <c r="B4" t="s">
        <v>3</v>
      </c>
      <c r="C4">
        <v>1.3</v>
      </c>
      <c r="D4" t="s">
        <v>1</v>
      </c>
      <c r="E4">
        <v>7.6</v>
      </c>
      <c r="F4">
        <v>0.5</v>
      </c>
      <c r="G4">
        <v>3.92</v>
      </c>
      <c r="H4">
        <v>0</v>
      </c>
      <c r="I4" t="s">
        <v>5</v>
      </c>
      <c r="J4">
        <v>2</v>
      </c>
      <c r="K4">
        <v>4</v>
      </c>
      <c r="L4">
        <v>2</v>
      </c>
    </row>
    <row r="5" spans="1:28" x14ac:dyDescent="0.3">
      <c r="A5">
        <v>15</v>
      </c>
      <c r="B5" t="s">
        <v>0</v>
      </c>
      <c r="C5">
        <v>7.4</v>
      </c>
      <c r="D5" t="s">
        <v>4</v>
      </c>
      <c r="E5">
        <v>6.9</v>
      </c>
      <c r="F5">
        <v>1.6</v>
      </c>
      <c r="G5">
        <v>3.48</v>
      </c>
      <c r="H5">
        <v>0.8</v>
      </c>
      <c r="I5" t="s">
        <v>6</v>
      </c>
      <c r="J5">
        <v>1</v>
      </c>
      <c r="K5">
        <v>7</v>
      </c>
      <c r="L5">
        <v>9</v>
      </c>
    </row>
    <row r="6" spans="1:28" x14ac:dyDescent="0.3">
      <c r="A6">
        <v>15</v>
      </c>
      <c r="B6" t="s">
        <v>3</v>
      </c>
      <c r="C6">
        <v>4.7</v>
      </c>
      <c r="D6" t="s">
        <v>7</v>
      </c>
      <c r="E6">
        <v>4.9000000000000004</v>
      </c>
      <c r="F6">
        <v>3</v>
      </c>
      <c r="G6">
        <v>2.37</v>
      </c>
      <c r="H6">
        <v>1.4</v>
      </c>
      <c r="I6" t="s">
        <v>6</v>
      </c>
      <c r="J6">
        <v>3</v>
      </c>
      <c r="K6">
        <v>5</v>
      </c>
      <c r="L6">
        <v>2</v>
      </c>
    </row>
    <row r="7" spans="1:28" x14ac:dyDescent="0.3">
      <c r="A7">
        <v>19</v>
      </c>
      <c r="B7" t="s">
        <v>3</v>
      </c>
      <c r="C7">
        <v>7.4</v>
      </c>
      <c r="D7" t="s">
        <v>7</v>
      </c>
      <c r="E7">
        <v>4.4000000000000004</v>
      </c>
      <c r="F7">
        <v>2.4</v>
      </c>
      <c r="G7">
        <v>2.63</v>
      </c>
      <c r="H7">
        <v>0.6</v>
      </c>
      <c r="I7" t="s">
        <v>5</v>
      </c>
      <c r="J7">
        <v>3</v>
      </c>
      <c r="K7">
        <v>5</v>
      </c>
      <c r="L7">
        <v>7</v>
      </c>
    </row>
    <row r="8" spans="1:28" x14ac:dyDescent="0.3">
      <c r="A8">
        <v>18</v>
      </c>
      <c r="B8" t="s">
        <v>3</v>
      </c>
      <c r="C8">
        <v>2.5</v>
      </c>
      <c r="D8" t="s">
        <v>1</v>
      </c>
      <c r="E8">
        <v>6.4</v>
      </c>
      <c r="F8">
        <v>2.4</v>
      </c>
      <c r="G8">
        <v>2.63</v>
      </c>
      <c r="H8">
        <v>0.7</v>
      </c>
      <c r="I8" t="s">
        <v>2</v>
      </c>
      <c r="J8">
        <v>2</v>
      </c>
      <c r="K8">
        <v>2</v>
      </c>
      <c r="L8">
        <v>5</v>
      </c>
    </row>
    <row r="9" spans="1:28" x14ac:dyDescent="0.3">
      <c r="A9">
        <v>16</v>
      </c>
      <c r="B9" t="s">
        <v>0</v>
      </c>
      <c r="C9">
        <v>4</v>
      </c>
      <c r="D9" t="s">
        <v>7</v>
      </c>
      <c r="E9">
        <v>4.2</v>
      </c>
      <c r="F9">
        <v>0.5</v>
      </c>
      <c r="G9">
        <v>2.4</v>
      </c>
      <c r="H9">
        <v>1.3</v>
      </c>
      <c r="I9" t="s">
        <v>2</v>
      </c>
      <c r="J9">
        <v>6</v>
      </c>
      <c r="K9">
        <v>10</v>
      </c>
      <c r="L9">
        <v>5</v>
      </c>
    </row>
    <row r="10" spans="1:28" x14ac:dyDescent="0.3">
      <c r="A10">
        <v>19</v>
      </c>
      <c r="B10" t="s">
        <v>3</v>
      </c>
      <c r="C10">
        <v>3.3</v>
      </c>
      <c r="D10" t="s">
        <v>4</v>
      </c>
      <c r="E10">
        <v>5</v>
      </c>
      <c r="F10">
        <v>2.1</v>
      </c>
      <c r="G10">
        <v>2.04</v>
      </c>
      <c r="H10">
        <v>0.9</v>
      </c>
      <c r="I10" t="s">
        <v>5</v>
      </c>
      <c r="J10">
        <v>1</v>
      </c>
      <c r="K10">
        <v>10</v>
      </c>
      <c r="L10">
        <v>9</v>
      </c>
    </row>
    <row r="11" spans="1:28" x14ac:dyDescent="0.3">
      <c r="A11">
        <v>15</v>
      </c>
      <c r="B11" t="s">
        <v>0</v>
      </c>
      <c r="C11">
        <v>1.9</v>
      </c>
      <c r="D11" t="s">
        <v>4</v>
      </c>
      <c r="E11">
        <v>4.9000000000000004</v>
      </c>
      <c r="F11">
        <v>1.5</v>
      </c>
      <c r="G11">
        <v>3.77</v>
      </c>
      <c r="H11">
        <v>1.1000000000000001</v>
      </c>
      <c r="I11" t="s">
        <v>5</v>
      </c>
      <c r="J11">
        <v>1</v>
      </c>
      <c r="K11">
        <v>1</v>
      </c>
      <c r="L11">
        <v>4</v>
      </c>
    </row>
    <row r="12" spans="1:28" x14ac:dyDescent="0.3">
      <c r="A12">
        <v>16</v>
      </c>
      <c r="B12" t="s">
        <v>0</v>
      </c>
      <c r="C12">
        <v>7.2</v>
      </c>
      <c r="D12" t="s">
        <v>7</v>
      </c>
      <c r="E12">
        <v>5.8</v>
      </c>
      <c r="F12">
        <v>2.9</v>
      </c>
      <c r="G12">
        <v>3.16</v>
      </c>
      <c r="H12">
        <v>1.2</v>
      </c>
      <c r="I12" t="s">
        <v>6</v>
      </c>
      <c r="J12">
        <v>5</v>
      </c>
      <c r="K12">
        <v>8</v>
      </c>
      <c r="L12">
        <v>9</v>
      </c>
    </row>
    <row r="13" spans="1:28" x14ac:dyDescent="0.3">
      <c r="A13">
        <v>13</v>
      </c>
      <c r="B13" t="s">
        <v>0</v>
      </c>
      <c r="C13">
        <v>4.9000000000000004</v>
      </c>
      <c r="D13" t="s">
        <v>1</v>
      </c>
      <c r="E13">
        <v>4.7</v>
      </c>
      <c r="F13">
        <v>2.5</v>
      </c>
      <c r="G13">
        <v>3.92</v>
      </c>
      <c r="H13">
        <v>1.2</v>
      </c>
      <c r="I13" t="s">
        <v>2</v>
      </c>
      <c r="J13">
        <v>1</v>
      </c>
      <c r="K13">
        <v>10</v>
      </c>
      <c r="L13">
        <v>8</v>
      </c>
    </row>
    <row r="14" spans="1:28" x14ac:dyDescent="0.3">
      <c r="A14">
        <v>16</v>
      </c>
      <c r="B14" t="s">
        <v>0</v>
      </c>
      <c r="C14">
        <v>6.2</v>
      </c>
      <c r="D14" t="s">
        <v>7</v>
      </c>
      <c r="E14">
        <v>7.2</v>
      </c>
      <c r="F14">
        <v>2.6</v>
      </c>
      <c r="G14">
        <v>2.02</v>
      </c>
      <c r="H14">
        <v>1.7</v>
      </c>
      <c r="I14" t="s">
        <v>6</v>
      </c>
      <c r="J14">
        <v>5</v>
      </c>
      <c r="K14">
        <v>7</v>
      </c>
      <c r="L14">
        <v>6</v>
      </c>
    </row>
    <row r="15" spans="1:28" x14ac:dyDescent="0.3">
      <c r="A15">
        <v>17</v>
      </c>
      <c r="B15" t="s">
        <v>3</v>
      </c>
      <c r="C15">
        <v>6.8</v>
      </c>
      <c r="D15" t="s">
        <v>4</v>
      </c>
      <c r="E15">
        <v>5.7</v>
      </c>
      <c r="F15">
        <v>1.1000000000000001</v>
      </c>
      <c r="G15">
        <v>3.29</v>
      </c>
      <c r="H15">
        <v>1.3</v>
      </c>
      <c r="I15" t="s">
        <v>6</v>
      </c>
      <c r="J15">
        <v>1</v>
      </c>
      <c r="K15">
        <v>10</v>
      </c>
      <c r="L15">
        <v>10</v>
      </c>
    </row>
    <row r="16" spans="1:28" x14ac:dyDescent="0.3">
      <c r="A16">
        <v>15</v>
      </c>
      <c r="B16" t="s">
        <v>0</v>
      </c>
      <c r="C16">
        <v>5.7</v>
      </c>
      <c r="D16" t="s">
        <v>4</v>
      </c>
      <c r="E16">
        <v>5.9</v>
      </c>
      <c r="F16">
        <v>0.8</v>
      </c>
      <c r="G16">
        <v>3.5</v>
      </c>
      <c r="H16">
        <v>0.7</v>
      </c>
      <c r="I16" t="s">
        <v>2</v>
      </c>
      <c r="J16">
        <v>1</v>
      </c>
      <c r="K16">
        <v>9</v>
      </c>
      <c r="L16">
        <v>1</v>
      </c>
    </row>
    <row r="17" spans="1:12" x14ac:dyDescent="0.3">
      <c r="A17">
        <v>14</v>
      </c>
      <c r="B17" t="s">
        <v>3</v>
      </c>
      <c r="C17">
        <v>3.6</v>
      </c>
      <c r="D17" t="s">
        <v>7</v>
      </c>
      <c r="E17">
        <v>5.3</v>
      </c>
      <c r="F17">
        <v>0.6</v>
      </c>
      <c r="G17">
        <v>2.99</v>
      </c>
      <c r="H17">
        <v>0.3</v>
      </c>
      <c r="I17" t="s">
        <v>5</v>
      </c>
      <c r="J17">
        <v>4</v>
      </c>
      <c r="K17">
        <v>10</v>
      </c>
      <c r="L17">
        <v>2</v>
      </c>
    </row>
    <row r="18" spans="1:12" x14ac:dyDescent="0.3">
      <c r="A18">
        <v>13</v>
      </c>
      <c r="B18" t="s">
        <v>0</v>
      </c>
      <c r="C18">
        <v>1.5</v>
      </c>
      <c r="D18" t="s">
        <v>7</v>
      </c>
      <c r="E18">
        <v>4.2</v>
      </c>
      <c r="F18">
        <v>1.4</v>
      </c>
      <c r="G18">
        <v>2.59</v>
      </c>
      <c r="H18">
        <v>0.5</v>
      </c>
      <c r="I18" t="s">
        <v>5</v>
      </c>
      <c r="J18">
        <v>4</v>
      </c>
      <c r="K18">
        <v>5</v>
      </c>
      <c r="L18">
        <v>8</v>
      </c>
    </row>
    <row r="19" spans="1:12" x14ac:dyDescent="0.3">
      <c r="A19">
        <v>16</v>
      </c>
      <c r="B19" t="s">
        <v>0</v>
      </c>
      <c r="C19">
        <v>3.1</v>
      </c>
      <c r="D19" t="s">
        <v>7</v>
      </c>
      <c r="E19">
        <v>6.1</v>
      </c>
      <c r="F19">
        <v>0.8</v>
      </c>
      <c r="G19">
        <v>2.11</v>
      </c>
      <c r="H19">
        <v>1.9</v>
      </c>
      <c r="I19" t="s">
        <v>5</v>
      </c>
      <c r="J19">
        <v>10</v>
      </c>
      <c r="K19">
        <v>7</v>
      </c>
      <c r="L19">
        <v>10</v>
      </c>
    </row>
    <row r="20" spans="1:12" x14ac:dyDescent="0.3">
      <c r="A20">
        <v>16</v>
      </c>
      <c r="B20" t="s">
        <v>3</v>
      </c>
      <c r="C20">
        <v>6.7</v>
      </c>
      <c r="D20" t="s">
        <v>7</v>
      </c>
      <c r="E20">
        <v>6.8</v>
      </c>
      <c r="F20">
        <v>1.9</v>
      </c>
      <c r="G20">
        <v>3.08</v>
      </c>
      <c r="H20">
        <v>1.4</v>
      </c>
      <c r="I20" t="s">
        <v>5</v>
      </c>
      <c r="J20">
        <v>10</v>
      </c>
      <c r="K20">
        <v>9</v>
      </c>
      <c r="L20">
        <v>1</v>
      </c>
    </row>
    <row r="21" spans="1:12" x14ac:dyDescent="0.3">
      <c r="A21">
        <v>14</v>
      </c>
      <c r="B21" t="s">
        <v>3</v>
      </c>
      <c r="C21">
        <v>1.2</v>
      </c>
      <c r="D21" t="s">
        <v>1</v>
      </c>
      <c r="E21">
        <v>7.6</v>
      </c>
      <c r="F21">
        <v>1</v>
      </c>
      <c r="G21">
        <v>3.85</v>
      </c>
      <c r="H21">
        <v>0.8</v>
      </c>
      <c r="I21" t="s">
        <v>5</v>
      </c>
      <c r="J21">
        <v>8</v>
      </c>
      <c r="K21">
        <v>4</v>
      </c>
      <c r="L21">
        <v>6</v>
      </c>
    </row>
    <row r="22" spans="1:12" x14ac:dyDescent="0.3">
      <c r="A22">
        <v>16</v>
      </c>
      <c r="B22" t="s">
        <v>0</v>
      </c>
      <c r="C22">
        <v>3.4</v>
      </c>
      <c r="D22" t="s">
        <v>4</v>
      </c>
      <c r="E22">
        <v>4.5999999999999996</v>
      </c>
      <c r="F22">
        <v>2.1</v>
      </c>
      <c r="G22">
        <v>2.2400000000000002</v>
      </c>
      <c r="H22">
        <v>0.4</v>
      </c>
      <c r="I22" t="s">
        <v>5</v>
      </c>
      <c r="J22">
        <v>4</v>
      </c>
      <c r="K22">
        <v>1</v>
      </c>
      <c r="L22">
        <v>3</v>
      </c>
    </row>
    <row r="23" spans="1:12" x14ac:dyDescent="0.3">
      <c r="A23">
        <v>18</v>
      </c>
      <c r="B23" t="s">
        <v>0</v>
      </c>
      <c r="C23">
        <v>4.0999999999999996</v>
      </c>
      <c r="D23" t="s">
        <v>7</v>
      </c>
      <c r="E23">
        <v>7.4</v>
      </c>
      <c r="F23">
        <v>2.4</v>
      </c>
      <c r="G23">
        <v>2.38</v>
      </c>
      <c r="H23">
        <v>1.5</v>
      </c>
      <c r="I23" t="s">
        <v>6</v>
      </c>
      <c r="J23">
        <v>8</v>
      </c>
      <c r="K23">
        <v>4</v>
      </c>
      <c r="L23">
        <v>9</v>
      </c>
    </row>
    <row r="24" spans="1:12" x14ac:dyDescent="0.3">
      <c r="A24">
        <v>18</v>
      </c>
      <c r="B24" t="s">
        <v>0</v>
      </c>
      <c r="C24">
        <v>5.3</v>
      </c>
      <c r="D24" t="s">
        <v>1</v>
      </c>
      <c r="E24">
        <v>4.9000000000000004</v>
      </c>
      <c r="F24">
        <v>1.2</v>
      </c>
      <c r="G24">
        <v>3.69</v>
      </c>
      <c r="H24">
        <v>1.2</v>
      </c>
      <c r="I24" t="s">
        <v>2</v>
      </c>
      <c r="J24">
        <v>5</v>
      </c>
      <c r="K24">
        <v>4</v>
      </c>
      <c r="L24">
        <v>5</v>
      </c>
    </row>
    <row r="25" spans="1:12" x14ac:dyDescent="0.3">
      <c r="A25">
        <v>18</v>
      </c>
      <c r="B25" t="s">
        <v>3</v>
      </c>
      <c r="C25">
        <v>2.2999999999999998</v>
      </c>
      <c r="D25" t="s">
        <v>4</v>
      </c>
      <c r="E25">
        <v>7.6</v>
      </c>
      <c r="F25">
        <v>0.5</v>
      </c>
      <c r="G25">
        <v>2.96</v>
      </c>
      <c r="H25">
        <v>1.7</v>
      </c>
      <c r="I25" t="s">
        <v>6</v>
      </c>
      <c r="J25">
        <v>9</v>
      </c>
      <c r="K25">
        <v>8</v>
      </c>
      <c r="L25">
        <v>7</v>
      </c>
    </row>
    <row r="26" spans="1:12" x14ac:dyDescent="0.3">
      <c r="A26">
        <v>18</v>
      </c>
      <c r="B26" t="s">
        <v>3</v>
      </c>
      <c r="C26">
        <v>2.4</v>
      </c>
      <c r="D26" t="s">
        <v>7</v>
      </c>
      <c r="E26">
        <v>6.7</v>
      </c>
      <c r="F26">
        <v>1.9</v>
      </c>
      <c r="G26">
        <v>2.5299999999999998</v>
      </c>
      <c r="H26">
        <v>0.4</v>
      </c>
      <c r="I26" t="s">
        <v>5</v>
      </c>
      <c r="J26">
        <v>8</v>
      </c>
      <c r="K26">
        <v>8</v>
      </c>
      <c r="L26">
        <v>2</v>
      </c>
    </row>
    <row r="27" spans="1:12" x14ac:dyDescent="0.3">
      <c r="A27">
        <v>13</v>
      </c>
      <c r="B27" t="s">
        <v>3</v>
      </c>
      <c r="C27">
        <v>1.5</v>
      </c>
      <c r="D27" t="s">
        <v>7</v>
      </c>
      <c r="E27">
        <v>7.2</v>
      </c>
      <c r="F27">
        <v>2.5</v>
      </c>
      <c r="G27">
        <v>2.15</v>
      </c>
      <c r="H27">
        <v>1.3</v>
      </c>
      <c r="I27" t="s">
        <v>6</v>
      </c>
      <c r="J27">
        <v>4</v>
      </c>
      <c r="K27">
        <v>6</v>
      </c>
      <c r="L27">
        <v>2</v>
      </c>
    </row>
    <row r="28" spans="1:12" x14ac:dyDescent="0.3">
      <c r="A28">
        <v>14</v>
      </c>
      <c r="B28" t="s">
        <v>3</v>
      </c>
      <c r="C28">
        <v>5.7</v>
      </c>
      <c r="D28" t="s">
        <v>7</v>
      </c>
      <c r="E28">
        <v>8.6999999999999993</v>
      </c>
      <c r="F28">
        <v>0.6</v>
      </c>
      <c r="G28">
        <v>2.64</v>
      </c>
      <c r="H28">
        <v>0.1</v>
      </c>
      <c r="I28" t="s">
        <v>2</v>
      </c>
      <c r="J28">
        <v>8</v>
      </c>
      <c r="K28">
        <v>9</v>
      </c>
      <c r="L28">
        <v>4</v>
      </c>
    </row>
    <row r="29" spans="1:12" x14ac:dyDescent="0.3">
      <c r="A29">
        <v>19</v>
      </c>
      <c r="B29" t="s">
        <v>0</v>
      </c>
      <c r="C29">
        <v>2</v>
      </c>
      <c r="D29" t="s">
        <v>4</v>
      </c>
      <c r="E29">
        <v>7.1</v>
      </c>
      <c r="F29">
        <v>0.9</v>
      </c>
      <c r="G29">
        <v>3.26</v>
      </c>
      <c r="H29">
        <v>1.6</v>
      </c>
      <c r="I29" t="s">
        <v>5</v>
      </c>
      <c r="J29">
        <v>7</v>
      </c>
      <c r="K29">
        <v>5</v>
      </c>
      <c r="L29">
        <v>9</v>
      </c>
    </row>
    <row r="30" spans="1:12" x14ac:dyDescent="0.3">
      <c r="A30">
        <v>14</v>
      </c>
      <c r="B30" t="s">
        <v>0</v>
      </c>
      <c r="C30">
        <v>2.5</v>
      </c>
      <c r="D30" t="s">
        <v>4</v>
      </c>
      <c r="E30">
        <v>5.6</v>
      </c>
      <c r="F30">
        <v>2.9</v>
      </c>
      <c r="G30">
        <v>2.2400000000000002</v>
      </c>
      <c r="H30">
        <v>0.5</v>
      </c>
      <c r="I30" t="s">
        <v>2</v>
      </c>
      <c r="J30">
        <v>3</v>
      </c>
      <c r="K30">
        <v>9</v>
      </c>
      <c r="L30">
        <v>5</v>
      </c>
    </row>
    <row r="31" spans="1:12" x14ac:dyDescent="0.3">
      <c r="A31">
        <v>16</v>
      </c>
      <c r="B31" t="s">
        <v>3</v>
      </c>
      <c r="C31">
        <v>3.4</v>
      </c>
      <c r="D31" t="s">
        <v>4</v>
      </c>
      <c r="E31">
        <v>7.8</v>
      </c>
      <c r="F31">
        <v>2.8</v>
      </c>
      <c r="G31">
        <v>3.83</v>
      </c>
      <c r="H31">
        <v>1.8</v>
      </c>
      <c r="I31" t="s">
        <v>6</v>
      </c>
      <c r="J31">
        <v>6</v>
      </c>
      <c r="K31">
        <v>6</v>
      </c>
      <c r="L31">
        <v>4</v>
      </c>
    </row>
    <row r="32" spans="1:12" x14ac:dyDescent="0.3">
      <c r="A32">
        <v>13</v>
      </c>
      <c r="B32" t="s">
        <v>0</v>
      </c>
      <c r="C32">
        <v>6.6</v>
      </c>
      <c r="D32" t="s">
        <v>4</v>
      </c>
      <c r="E32">
        <v>5.7</v>
      </c>
      <c r="F32">
        <v>2.5</v>
      </c>
      <c r="G32">
        <v>2.67</v>
      </c>
      <c r="H32">
        <v>1.1000000000000001</v>
      </c>
      <c r="I32" t="s">
        <v>2</v>
      </c>
      <c r="J32">
        <v>2</v>
      </c>
      <c r="K32">
        <v>1</v>
      </c>
      <c r="L32">
        <v>10</v>
      </c>
    </row>
    <row r="33" spans="1:12" x14ac:dyDescent="0.3">
      <c r="A33">
        <v>13</v>
      </c>
      <c r="B33" t="s">
        <v>3</v>
      </c>
      <c r="C33">
        <v>1.6</v>
      </c>
      <c r="D33" t="s">
        <v>1</v>
      </c>
      <c r="E33">
        <v>8.6999999999999993</v>
      </c>
      <c r="F33">
        <v>2.5</v>
      </c>
      <c r="G33">
        <v>3.69</v>
      </c>
      <c r="H33">
        <v>0.4</v>
      </c>
      <c r="I33" t="s">
        <v>5</v>
      </c>
      <c r="J33">
        <v>8</v>
      </c>
      <c r="K33">
        <v>2</v>
      </c>
      <c r="L33">
        <v>9</v>
      </c>
    </row>
    <row r="34" spans="1:12" x14ac:dyDescent="0.3">
      <c r="A34">
        <v>16</v>
      </c>
      <c r="B34" t="s">
        <v>0</v>
      </c>
      <c r="C34">
        <v>2.7</v>
      </c>
      <c r="D34" t="s">
        <v>1</v>
      </c>
      <c r="E34">
        <v>4.2</v>
      </c>
      <c r="F34">
        <v>2.4</v>
      </c>
      <c r="G34">
        <v>3.05</v>
      </c>
      <c r="H34">
        <v>0.2</v>
      </c>
      <c r="I34" t="s">
        <v>5</v>
      </c>
      <c r="J34">
        <v>1</v>
      </c>
      <c r="K34">
        <v>8</v>
      </c>
      <c r="L34">
        <v>4</v>
      </c>
    </row>
    <row r="35" spans="1:12" x14ac:dyDescent="0.3">
      <c r="A35">
        <v>14</v>
      </c>
      <c r="B35" t="s">
        <v>0</v>
      </c>
      <c r="C35">
        <v>4.0999999999999996</v>
      </c>
      <c r="D35" t="s">
        <v>4</v>
      </c>
      <c r="E35">
        <v>8</v>
      </c>
      <c r="F35">
        <v>3</v>
      </c>
      <c r="G35">
        <v>2.31</v>
      </c>
      <c r="H35">
        <v>0.8</v>
      </c>
      <c r="I35" t="s">
        <v>2</v>
      </c>
      <c r="J35">
        <v>8</v>
      </c>
      <c r="K35">
        <v>4</v>
      </c>
      <c r="L35">
        <v>1</v>
      </c>
    </row>
    <row r="36" spans="1:12" x14ac:dyDescent="0.3">
      <c r="A36">
        <v>13</v>
      </c>
      <c r="B36" t="s">
        <v>3</v>
      </c>
      <c r="C36">
        <v>6.6</v>
      </c>
      <c r="D36" t="s">
        <v>4</v>
      </c>
      <c r="E36">
        <v>7.3</v>
      </c>
      <c r="F36">
        <v>1.6</v>
      </c>
      <c r="G36">
        <v>3.27</v>
      </c>
      <c r="H36">
        <v>0.1</v>
      </c>
      <c r="I36" t="s">
        <v>6</v>
      </c>
      <c r="J36">
        <v>10</v>
      </c>
      <c r="K36">
        <v>2</v>
      </c>
      <c r="L36">
        <v>1</v>
      </c>
    </row>
    <row r="37" spans="1:12" x14ac:dyDescent="0.3">
      <c r="A37">
        <v>17</v>
      </c>
      <c r="B37" t="s">
        <v>3</v>
      </c>
      <c r="C37">
        <v>5</v>
      </c>
      <c r="D37" t="s">
        <v>7</v>
      </c>
      <c r="E37">
        <v>4.9000000000000004</v>
      </c>
      <c r="F37">
        <v>2.1</v>
      </c>
      <c r="G37">
        <v>2.0099999999999998</v>
      </c>
      <c r="H37">
        <v>1</v>
      </c>
      <c r="I37" t="s">
        <v>2</v>
      </c>
      <c r="J37">
        <v>9</v>
      </c>
      <c r="K37">
        <v>4</v>
      </c>
      <c r="L37">
        <v>9</v>
      </c>
    </row>
    <row r="38" spans="1:12" x14ac:dyDescent="0.3">
      <c r="A38">
        <v>19</v>
      </c>
      <c r="B38" t="s">
        <v>3</v>
      </c>
      <c r="C38">
        <v>4.5999999999999996</v>
      </c>
      <c r="D38" t="s">
        <v>1</v>
      </c>
      <c r="E38">
        <v>5.5</v>
      </c>
      <c r="F38">
        <v>2.5</v>
      </c>
      <c r="G38">
        <v>3.96</v>
      </c>
      <c r="H38">
        <v>0.8</v>
      </c>
      <c r="I38" t="s">
        <v>5</v>
      </c>
      <c r="J38">
        <v>3</v>
      </c>
      <c r="K38">
        <v>10</v>
      </c>
      <c r="L38">
        <v>7</v>
      </c>
    </row>
    <row r="39" spans="1:12" x14ac:dyDescent="0.3">
      <c r="A39">
        <v>17</v>
      </c>
      <c r="B39" t="s">
        <v>3</v>
      </c>
      <c r="C39">
        <v>4.8</v>
      </c>
      <c r="D39" t="s">
        <v>1</v>
      </c>
      <c r="E39">
        <v>4.4000000000000004</v>
      </c>
      <c r="F39">
        <v>1.3</v>
      </c>
      <c r="G39">
        <v>2.02</v>
      </c>
      <c r="H39">
        <v>0.5</v>
      </c>
      <c r="I39" t="s">
        <v>2</v>
      </c>
      <c r="J39">
        <v>5</v>
      </c>
      <c r="K39">
        <v>10</v>
      </c>
      <c r="L39">
        <v>6</v>
      </c>
    </row>
    <row r="40" spans="1:12" x14ac:dyDescent="0.3">
      <c r="A40">
        <v>17</v>
      </c>
      <c r="B40" t="s">
        <v>3</v>
      </c>
      <c r="C40">
        <v>1.3</v>
      </c>
      <c r="D40" t="s">
        <v>4</v>
      </c>
      <c r="E40">
        <v>8</v>
      </c>
      <c r="F40">
        <v>2</v>
      </c>
      <c r="G40">
        <v>2.84</v>
      </c>
      <c r="H40">
        <v>1.8</v>
      </c>
      <c r="I40" t="s">
        <v>5</v>
      </c>
      <c r="J40">
        <v>1</v>
      </c>
      <c r="K40">
        <v>7</v>
      </c>
      <c r="L40">
        <v>8</v>
      </c>
    </row>
    <row r="41" spans="1:12" x14ac:dyDescent="0.3">
      <c r="A41">
        <v>17</v>
      </c>
      <c r="B41" t="s">
        <v>3</v>
      </c>
      <c r="C41">
        <v>6.3</v>
      </c>
      <c r="D41" t="s">
        <v>1</v>
      </c>
      <c r="E41">
        <v>4</v>
      </c>
      <c r="F41">
        <v>1</v>
      </c>
      <c r="G41">
        <v>2.4300000000000002</v>
      </c>
      <c r="H41">
        <v>1.2</v>
      </c>
      <c r="I41" t="s">
        <v>5</v>
      </c>
      <c r="J41">
        <v>1</v>
      </c>
      <c r="K41">
        <v>10</v>
      </c>
      <c r="L41">
        <v>9</v>
      </c>
    </row>
    <row r="42" spans="1:12" x14ac:dyDescent="0.3">
      <c r="A42">
        <v>14</v>
      </c>
      <c r="B42" t="s">
        <v>0</v>
      </c>
      <c r="C42">
        <v>6.4</v>
      </c>
      <c r="D42" t="s">
        <v>1</v>
      </c>
      <c r="E42">
        <v>5.7</v>
      </c>
      <c r="F42">
        <v>0.9</v>
      </c>
      <c r="G42">
        <v>2.06</v>
      </c>
      <c r="H42">
        <v>1.8</v>
      </c>
      <c r="I42" t="s">
        <v>5</v>
      </c>
      <c r="J42">
        <v>10</v>
      </c>
      <c r="K42">
        <v>4</v>
      </c>
      <c r="L42">
        <v>2</v>
      </c>
    </row>
    <row r="43" spans="1:12" x14ac:dyDescent="0.3">
      <c r="A43">
        <v>19</v>
      </c>
      <c r="B43" t="s">
        <v>0</v>
      </c>
      <c r="C43">
        <v>1.6</v>
      </c>
      <c r="D43" t="s">
        <v>1</v>
      </c>
      <c r="E43">
        <v>8.6</v>
      </c>
      <c r="F43">
        <v>2.4</v>
      </c>
      <c r="G43">
        <v>3.81</v>
      </c>
      <c r="H43">
        <v>0.4</v>
      </c>
      <c r="I43" t="s">
        <v>2</v>
      </c>
      <c r="J43">
        <v>10</v>
      </c>
      <c r="K43">
        <v>4</v>
      </c>
      <c r="L43">
        <v>1</v>
      </c>
    </row>
    <row r="44" spans="1:12" x14ac:dyDescent="0.3">
      <c r="A44">
        <v>14</v>
      </c>
      <c r="B44" t="s">
        <v>3</v>
      </c>
      <c r="C44">
        <v>7.3</v>
      </c>
      <c r="D44" t="s">
        <v>1</v>
      </c>
      <c r="E44">
        <v>7.7</v>
      </c>
      <c r="F44">
        <v>1.4</v>
      </c>
      <c r="G44">
        <v>3.42</v>
      </c>
      <c r="H44">
        <v>0.3</v>
      </c>
      <c r="I44" t="s">
        <v>6</v>
      </c>
      <c r="J44">
        <v>6</v>
      </c>
      <c r="K44">
        <v>1</v>
      </c>
      <c r="L44">
        <v>8</v>
      </c>
    </row>
    <row r="45" spans="1:12" x14ac:dyDescent="0.3">
      <c r="A45">
        <v>15</v>
      </c>
      <c r="B45" t="s">
        <v>0</v>
      </c>
      <c r="C45">
        <v>4</v>
      </c>
      <c r="D45" t="s">
        <v>7</v>
      </c>
      <c r="E45">
        <v>8.8000000000000007</v>
      </c>
      <c r="F45">
        <v>1.3</v>
      </c>
      <c r="G45">
        <v>3.59</v>
      </c>
      <c r="H45">
        <v>1.9</v>
      </c>
      <c r="I45" t="s">
        <v>6</v>
      </c>
      <c r="J45">
        <v>10</v>
      </c>
      <c r="K45">
        <v>6</v>
      </c>
      <c r="L45">
        <v>10</v>
      </c>
    </row>
    <row r="46" spans="1:12" x14ac:dyDescent="0.3">
      <c r="A46">
        <v>14</v>
      </c>
      <c r="B46" t="s">
        <v>0</v>
      </c>
      <c r="C46">
        <v>5.2</v>
      </c>
      <c r="D46" t="s">
        <v>7</v>
      </c>
      <c r="E46">
        <v>4.0999999999999996</v>
      </c>
      <c r="F46">
        <v>2.1</v>
      </c>
      <c r="G46">
        <v>3.07</v>
      </c>
      <c r="H46">
        <v>0.2</v>
      </c>
      <c r="I46" t="s">
        <v>6</v>
      </c>
      <c r="J46">
        <v>9</v>
      </c>
      <c r="K46">
        <v>3</v>
      </c>
      <c r="L46">
        <v>8</v>
      </c>
    </row>
    <row r="47" spans="1:12" x14ac:dyDescent="0.3">
      <c r="A47">
        <v>14</v>
      </c>
      <c r="B47" t="s">
        <v>3</v>
      </c>
      <c r="C47">
        <v>4.5</v>
      </c>
      <c r="D47" t="s">
        <v>4</v>
      </c>
      <c r="E47">
        <v>4.8</v>
      </c>
      <c r="F47">
        <v>0.9</v>
      </c>
      <c r="G47">
        <v>2.2200000000000002</v>
      </c>
      <c r="H47">
        <v>0.8</v>
      </c>
      <c r="I47" t="s">
        <v>2</v>
      </c>
      <c r="J47">
        <v>1</v>
      </c>
      <c r="K47">
        <v>4</v>
      </c>
      <c r="L47">
        <v>10</v>
      </c>
    </row>
    <row r="48" spans="1:12" x14ac:dyDescent="0.3">
      <c r="A48">
        <v>18</v>
      </c>
      <c r="B48" t="s">
        <v>0</v>
      </c>
      <c r="C48">
        <v>6.8</v>
      </c>
      <c r="D48" t="s">
        <v>4</v>
      </c>
      <c r="E48">
        <v>8.6</v>
      </c>
      <c r="F48">
        <v>1.1000000000000001</v>
      </c>
      <c r="G48">
        <v>2.36</v>
      </c>
      <c r="H48">
        <v>1.6</v>
      </c>
      <c r="I48" t="s">
        <v>5</v>
      </c>
      <c r="J48">
        <v>1</v>
      </c>
      <c r="K48">
        <v>10</v>
      </c>
      <c r="L48">
        <v>10</v>
      </c>
    </row>
    <row r="49" spans="1:12" x14ac:dyDescent="0.3">
      <c r="A49">
        <v>13</v>
      </c>
      <c r="B49" t="s">
        <v>3</v>
      </c>
      <c r="C49">
        <v>3.5</v>
      </c>
      <c r="D49" t="s">
        <v>1</v>
      </c>
      <c r="E49">
        <v>5.0999999999999996</v>
      </c>
      <c r="F49">
        <v>1.1000000000000001</v>
      </c>
      <c r="G49">
        <v>2.27</v>
      </c>
      <c r="H49">
        <v>1.8</v>
      </c>
      <c r="I49" t="s">
        <v>6</v>
      </c>
      <c r="J49">
        <v>2</v>
      </c>
      <c r="K49">
        <v>5</v>
      </c>
      <c r="L49">
        <v>6</v>
      </c>
    </row>
    <row r="50" spans="1:12" x14ac:dyDescent="0.3">
      <c r="A50">
        <v>16</v>
      </c>
      <c r="B50" t="s">
        <v>0</v>
      </c>
      <c r="C50">
        <v>2.2999999999999998</v>
      </c>
      <c r="D50" t="s">
        <v>4</v>
      </c>
      <c r="E50">
        <v>6.3</v>
      </c>
      <c r="F50">
        <v>3</v>
      </c>
      <c r="G50">
        <v>3.24</v>
      </c>
      <c r="H50">
        <v>1.9</v>
      </c>
      <c r="I50" t="s">
        <v>6</v>
      </c>
      <c r="J50">
        <v>4</v>
      </c>
      <c r="K50">
        <v>4</v>
      </c>
      <c r="L50">
        <v>9</v>
      </c>
    </row>
    <row r="51" spans="1:12" x14ac:dyDescent="0.3">
      <c r="A51">
        <v>14</v>
      </c>
      <c r="B51" t="s">
        <v>0</v>
      </c>
      <c r="C51">
        <v>1.2</v>
      </c>
      <c r="D51" t="s">
        <v>1</v>
      </c>
      <c r="E51">
        <v>8.5</v>
      </c>
      <c r="F51">
        <v>1.8</v>
      </c>
      <c r="G51">
        <v>3.65</v>
      </c>
      <c r="H51">
        <v>1.8</v>
      </c>
      <c r="I51" t="s">
        <v>5</v>
      </c>
      <c r="J51">
        <v>5</v>
      </c>
      <c r="K51">
        <v>10</v>
      </c>
      <c r="L51">
        <v>10</v>
      </c>
    </row>
    <row r="52" spans="1:12" x14ac:dyDescent="0.3">
      <c r="A52">
        <v>13</v>
      </c>
      <c r="B52" t="s">
        <v>0</v>
      </c>
      <c r="C52">
        <v>6.2</v>
      </c>
      <c r="D52" t="s">
        <v>7</v>
      </c>
      <c r="E52">
        <v>7.1</v>
      </c>
      <c r="F52">
        <v>2.2000000000000002</v>
      </c>
      <c r="G52">
        <v>3.43</v>
      </c>
      <c r="H52">
        <v>0.2</v>
      </c>
      <c r="I52" t="s">
        <v>6</v>
      </c>
      <c r="J52">
        <v>5</v>
      </c>
      <c r="K52">
        <v>2</v>
      </c>
      <c r="L52">
        <v>2</v>
      </c>
    </row>
    <row r="53" spans="1:12" x14ac:dyDescent="0.3">
      <c r="A53">
        <v>18</v>
      </c>
      <c r="B53" t="s">
        <v>0</v>
      </c>
      <c r="C53">
        <v>4.5</v>
      </c>
      <c r="D53" t="s">
        <v>4</v>
      </c>
      <c r="E53">
        <v>4.0999999999999996</v>
      </c>
      <c r="F53">
        <v>1.9</v>
      </c>
      <c r="G53">
        <v>3.42</v>
      </c>
      <c r="H53">
        <v>0.1</v>
      </c>
      <c r="I53" t="s">
        <v>6</v>
      </c>
      <c r="J53">
        <v>6</v>
      </c>
      <c r="K53">
        <v>7</v>
      </c>
      <c r="L53">
        <v>8</v>
      </c>
    </row>
    <row r="54" spans="1:12" x14ac:dyDescent="0.3">
      <c r="A54">
        <v>18</v>
      </c>
      <c r="B54" t="s">
        <v>0</v>
      </c>
      <c r="C54">
        <v>2.9</v>
      </c>
      <c r="D54" t="s">
        <v>1</v>
      </c>
      <c r="E54">
        <v>4.5</v>
      </c>
      <c r="F54">
        <v>2.5</v>
      </c>
      <c r="G54">
        <v>3.16</v>
      </c>
      <c r="H54">
        <v>1.3</v>
      </c>
      <c r="I54" t="s">
        <v>2</v>
      </c>
      <c r="J54">
        <v>3</v>
      </c>
      <c r="K54">
        <v>7</v>
      </c>
      <c r="L54">
        <v>8</v>
      </c>
    </row>
    <row r="55" spans="1:12" x14ac:dyDescent="0.3">
      <c r="A55">
        <v>13</v>
      </c>
      <c r="B55" t="s">
        <v>3</v>
      </c>
      <c r="C55">
        <v>5.8</v>
      </c>
      <c r="D55" t="s">
        <v>4</v>
      </c>
      <c r="E55">
        <v>8.5</v>
      </c>
      <c r="F55">
        <v>2.2999999999999998</v>
      </c>
      <c r="G55">
        <v>3.3</v>
      </c>
      <c r="H55">
        <v>1.9</v>
      </c>
      <c r="I55" t="s">
        <v>5</v>
      </c>
      <c r="J55">
        <v>1</v>
      </c>
      <c r="K55">
        <v>1</v>
      </c>
      <c r="L55">
        <v>5</v>
      </c>
    </row>
    <row r="56" spans="1:12" x14ac:dyDescent="0.3">
      <c r="A56">
        <v>18</v>
      </c>
      <c r="B56" t="s">
        <v>0</v>
      </c>
      <c r="C56">
        <v>6.8</v>
      </c>
      <c r="D56" t="s">
        <v>1</v>
      </c>
      <c r="E56">
        <v>6.5</v>
      </c>
      <c r="F56">
        <v>2.7</v>
      </c>
      <c r="G56">
        <v>2.97</v>
      </c>
      <c r="H56">
        <v>1.9</v>
      </c>
      <c r="I56" t="s">
        <v>2</v>
      </c>
      <c r="J56">
        <v>4</v>
      </c>
      <c r="K56">
        <v>4</v>
      </c>
      <c r="L56">
        <v>5</v>
      </c>
    </row>
    <row r="57" spans="1:12" x14ac:dyDescent="0.3">
      <c r="A57">
        <v>15</v>
      </c>
      <c r="B57" t="s">
        <v>3</v>
      </c>
      <c r="C57">
        <v>7.4</v>
      </c>
      <c r="D57" t="s">
        <v>1</v>
      </c>
      <c r="E57">
        <v>8.6</v>
      </c>
      <c r="F57">
        <v>0.9</v>
      </c>
      <c r="G57">
        <v>2.2999999999999998</v>
      </c>
      <c r="H57">
        <v>0</v>
      </c>
      <c r="I57" t="s">
        <v>2</v>
      </c>
      <c r="J57">
        <v>1</v>
      </c>
      <c r="K57">
        <v>5</v>
      </c>
      <c r="L57">
        <v>3</v>
      </c>
    </row>
    <row r="58" spans="1:12" x14ac:dyDescent="0.3">
      <c r="A58">
        <v>18</v>
      </c>
      <c r="B58" t="s">
        <v>0</v>
      </c>
      <c r="C58">
        <v>4.5</v>
      </c>
      <c r="D58" t="s">
        <v>4</v>
      </c>
      <c r="E58">
        <v>5</v>
      </c>
      <c r="F58">
        <v>2.5</v>
      </c>
      <c r="G58">
        <v>2.65</v>
      </c>
      <c r="H58">
        <v>0.7</v>
      </c>
      <c r="I58" t="s">
        <v>6</v>
      </c>
      <c r="J58">
        <v>8</v>
      </c>
      <c r="K58">
        <v>9</v>
      </c>
      <c r="L58">
        <v>1</v>
      </c>
    </row>
    <row r="59" spans="1:12" x14ac:dyDescent="0.3">
      <c r="A59">
        <v>16</v>
      </c>
      <c r="B59" t="s">
        <v>0</v>
      </c>
      <c r="C59">
        <v>6.4</v>
      </c>
      <c r="D59" t="s">
        <v>4</v>
      </c>
      <c r="E59">
        <v>5.3</v>
      </c>
      <c r="F59">
        <v>2.4</v>
      </c>
      <c r="G59">
        <v>2.0299999999999998</v>
      </c>
      <c r="H59">
        <v>1.7</v>
      </c>
      <c r="I59" t="s">
        <v>6</v>
      </c>
      <c r="J59">
        <v>7</v>
      </c>
      <c r="K59">
        <v>5</v>
      </c>
      <c r="L59">
        <v>10</v>
      </c>
    </row>
    <row r="60" spans="1:12" x14ac:dyDescent="0.3">
      <c r="A60">
        <v>13</v>
      </c>
      <c r="B60" t="s">
        <v>0</v>
      </c>
      <c r="C60">
        <v>7.3</v>
      </c>
      <c r="D60" t="s">
        <v>7</v>
      </c>
      <c r="E60">
        <v>4.2</v>
      </c>
      <c r="F60">
        <v>1.3</v>
      </c>
      <c r="G60">
        <v>2.16</v>
      </c>
      <c r="H60">
        <v>1</v>
      </c>
      <c r="I60" t="s">
        <v>5</v>
      </c>
      <c r="J60">
        <v>4</v>
      </c>
      <c r="K60">
        <v>5</v>
      </c>
      <c r="L60">
        <v>2</v>
      </c>
    </row>
    <row r="61" spans="1:12" x14ac:dyDescent="0.3">
      <c r="A61">
        <v>17</v>
      </c>
      <c r="B61" t="s">
        <v>3</v>
      </c>
      <c r="C61">
        <v>7.1</v>
      </c>
      <c r="D61" t="s">
        <v>1</v>
      </c>
      <c r="E61">
        <v>5.6</v>
      </c>
      <c r="F61">
        <v>0.6</v>
      </c>
      <c r="G61">
        <v>3.07</v>
      </c>
      <c r="H61">
        <v>1</v>
      </c>
      <c r="I61" t="s">
        <v>6</v>
      </c>
      <c r="J61">
        <v>1</v>
      </c>
      <c r="K61">
        <v>3</v>
      </c>
      <c r="L61">
        <v>7</v>
      </c>
    </row>
    <row r="62" spans="1:12" x14ac:dyDescent="0.3">
      <c r="A62">
        <v>18</v>
      </c>
      <c r="B62" t="s">
        <v>0</v>
      </c>
      <c r="C62">
        <v>1.6</v>
      </c>
      <c r="D62" t="s">
        <v>4</v>
      </c>
      <c r="E62">
        <v>5.0999999999999996</v>
      </c>
      <c r="F62">
        <v>2.7</v>
      </c>
      <c r="G62">
        <v>3.57</v>
      </c>
      <c r="H62">
        <v>0.8</v>
      </c>
      <c r="I62" t="s">
        <v>5</v>
      </c>
      <c r="J62">
        <v>3</v>
      </c>
      <c r="K62">
        <v>9</v>
      </c>
      <c r="L62">
        <v>7</v>
      </c>
    </row>
    <row r="63" spans="1:12" x14ac:dyDescent="0.3">
      <c r="A63">
        <v>15</v>
      </c>
      <c r="B63" t="s">
        <v>3</v>
      </c>
      <c r="C63">
        <v>1.5</v>
      </c>
      <c r="D63" t="s">
        <v>1</v>
      </c>
      <c r="E63">
        <v>4.7</v>
      </c>
      <c r="F63">
        <v>1</v>
      </c>
      <c r="G63">
        <v>3.82</v>
      </c>
      <c r="H63">
        <v>0.6</v>
      </c>
      <c r="I63" t="s">
        <v>6</v>
      </c>
      <c r="J63">
        <v>6</v>
      </c>
      <c r="K63">
        <v>1</v>
      </c>
      <c r="L63">
        <v>4</v>
      </c>
    </row>
    <row r="64" spans="1:12" x14ac:dyDescent="0.3">
      <c r="A64">
        <v>13</v>
      </c>
      <c r="B64" t="s">
        <v>0</v>
      </c>
      <c r="C64">
        <v>4.3</v>
      </c>
      <c r="D64" t="s">
        <v>7</v>
      </c>
      <c r="E64">
        <v>5.8</v>
      </c>
      <c r="F64">
        <v>0.7</v>
      </c>
      <c r="G64">
        <v>3.15</v>
      </c>
      <c r="H64">
        <v>0.1</v>
      </c>
      <c r="I64" t="s">
        <v>6</v>
      </c>
      <c r="J64">
        <v>7</v>
      </c>
      <c r="K64">
        <v>2</v>
      </c>
      <c r="L64">
        <v>1</v>
      </c>
    </row>
    <row r="65" spans="1:12" x14ac:dyDescent="0.3">
      <c r="A65">
        <v>17</v>
      </c>
      <c r="B65" t="s">
        <v>0</v>
      </c>
      <c r="C65">
        <v>2.5</v>
      </c>
      <c r="D65" t="s">
        <v>7</v>
      </c>
      <c r="E65">
        <v>6.7</v>
      </c>
      <c r="F65">
        <v>2</v>
      </c>
      <c r="G65">
        <v>2.56</v>
      </c>
      <c r="H65">
        <v>1.7</v>
      </c>
      <c r="I65" t="s">
        <v>5</v>
      </c>
      <c r="J65">
        <v>5</v>
      </c>
      <c r="K65">
        <v>7</v>
      </c>
      <c r="L65">
        <v>5</v>
      </c>
    </row>
    <row r="66" spans="1:12" x14ac:dyDescent="0.3">
      <c r="A66">
        <v>19</v>
      </c>
      <c r="B66" t="s">
        <v>3</v>
      </c>
      <c r="C66">
        <v>7.9</v>
      </c>
      <c r="D66" t="s">
        <v>4</v>
      </c>
      <c r="E66">
        <v>5.0999999999999996</v>
      </c>
      <c r="F66">
        <v>1.7</v>
      </c>
      <c r="G66">
        <v>2.8</v>
      </c>
      <c r="H66">
        <v>0.8</v>
      </c>
      <c r="I66" t="s">
        <v>2</v>
      </c>
      <c r="J66">
        <v>6</v>
      </c>
      <c r="K66">
        <v>1</v>
      </c>
      <c r="L66">
        <v>8</v>
      </c>
    </row>
    <row r="67" spans="1:12" x14ac:dyDescent="0.3">
      <c r="A67">
        <v>17</v>
      </c>
      <c r="B67" t="s">
        <v>0</v>
      </c>
      <c r="C67">
        <v>2.7</v>
      </c>
      <c r="D67" t="s">
        <v>1</v>
      </c>
      <c r="E67">
        <v>8</v>
      </c>
      <c r="F67">
        <v>2.6</v>
      </c>
      <c r="G67">
        <v>3.53</v>
      </c>
      <c r="H67">
        <v>1.9</v>
      </c>
      <c r="I67" t="s">
        <v>5</v>
      </c>
      <c r="J67">
        <v>1</v>
      </c>
      <c r="K67">
        <v>8</v>
      </c>
      <c r="L67">
        <v>7</v>
      </c>
    </row>
    <row r="68" spans="1:12" x14ac:dyDescent="0.3">
      <c r="A68">
        <v>13</v>
      </c>
      <c r="B68" t="s">
        <v>0</v>
      </c>
      <c r="C68">
        <v>3.1</v>
      </c>
      <c r="D68" t="s">
        <v>4</v>
      </c>
      <c r="E68">
        <v>8.1999999999999993</v>
      </c>
      <c r="F68">
        <v>1.5</v>
      </c>
      <c r="G68">
        <v>2.4500000000000002</v>
      </c>
      <c r="H68">
        <v>0.3</v>
      </c>
      <c r="I68" t="s">
        <v>2</v>
      </c>
      <c r="J68">
        <v>5</v>
      </c>
      <c r="K68">
        <v>8</v>
      </c>
      <c r="L68">
        <v>6</v>
      </c>
    </row>
    <row r="69" spans="1:12" x14ac:dyDescent="0.3">
      <c r="A69">
        <v>17</v>
      </c>
      <c r="B69" t="s">
        <v>0</v>
      </c>
      <c r="C69">
        <v>5.8</v>
      </c>
      <c r="D69" t="s">
        <v>7</v>
      </c>
      <c r="E69">
        <v>7.6</v>
      </c>
      <c r="F69">
        <v>0.7</v>
      </c>
      <c r="G69">
        <v>2.83</v>
      </c>
      <c r="H69">
        <v>1</v>
      </c>
      <c r="I69" t="s">
        <v>6</v>
      </c>
      <c r="J69">
        <v>7</v>
      </c>
      <c r="K69">
        <v>6</v>
      </c>
      <c r="L69">
        <v>8</v>
      </c>
    </row>
    <row r="70" spans="1:12" x14ac:dyDescent="0.3">
      <c r="A70">
        <v>14</v>
      </c>
      <c r="B70" t="s">
        <v>3</v>
      </c>
      <c r="C70">
        <v>3.9</v>
      </c>
      <c r="D70" t="s">
        <v>7</v>
      </c>
      <c r="E70">
        <v>7</v>
      </c>
      <c r="F70">
        <v>2.8</v>
      </c>
      <c r="G70">
        <v>2.8</v>
      </c>
      <c r="H70">
        <v>0.1</v>
      </c>
      <c r="I70" t="s">
        <v>2</v>
      </c>
      <c r="J70">
        <v>8</v>
      </c>
      <c r="K70">
        <v>2</v>
      </c>
      <c r="L70">
        <v>8</v>
      </c>
    </row>
    <row r="71" spans="1:12" x14ac:dyDescent="0.3">
      <c r="A71">
        <v>15</v>
      </c>
      <c r="B71" t="s">
        <v>0</v>
      </c>
      <c r="C71">
        <v>7.5</v>
      </c>
      <c r="D71" t="s">
        <v>7</v>
      </c>
      <c r="E71">
        <v>7</v>
      </c>
      <c r="F71">
        <v>0.9</v>
      </c>
      <c r="G71">
        <v>3.48</v>
      </c>
      <c r="H71">
        <v>1.1000000000000001</v>
      </c>
      <c r="I71" t="s">
        <v>5</v>
      </c>
      <c r="J71">
        <v>2</v>
      </c>
      <c r="K71">
        <v>2</v>
      </c>
      <c r="L71">
        <v>6</v>
      </c>
    </row>
    <row r="72" spans="1:12" x14ac:dyDescent="0.3">
      <c r="A72">
        <v>14</v>
      </c>
      <c r="B72" t="s">
        <v>0</v>
      </c>
      <c r="C72">
        <v>5.2</v>
      </c>
      <c r="D72" t="s">
        <v>7</v>
      </c>
      <c r="E72">
        <v>6.7</v>
      </c>
      <c r="F72">
        <v>2</v>
      </c>
      <c r="G72">
        <v>3.48</v>
      </c>
      <c r="H72">
        <v>1</v>
      </c>
      <c r="I72" t="s">
        <v>6</v>
      </c>
      <c r="J72">
        <v>2</v>
      </c>
      <c r="K72">
        <v>1</v>
      </c>
      <c r="L72">
        <v>5</v>
      </c>
    </row>
    <row r="73" spans="1:12" x14ac:dyDescent="0.3">
      <c r="A73">
        <v>16</v>
      </c>
      <c r="B73" t="s">
        <v>3</v>
      </c>
      <c r="C73">
        <v>3.1</v>
      </c>
      <c r="D73" t="s">
        <v>4</v>
      </c>
      <c r="E73">
        <v>5</v>
      </c>
      <c r="F73">
        <v>1.1000000000000001</v>
      </c>
      <c r="G73">
        <v>2.73</v>
      </c>
      <c r="H73">
        <v>1.6</v>
      </c>
      <c r="I73" t="s">
        <v>2</v>
      </c>
      <c r="J73">
        <v>2</v>
      </c>
      <c r="K73">
        <v>8</v>
      </c>
      <c r="L73">
        <v>1</v>
      </c>
    </row>
    <row r="74" spans="1:12" x14ac:dyDescent="0.3">
      <c r="A74">
        <v>16</v>
      </c>
      <c r="B74" t="s">
        <v>3</v>
      </c>
      <c r="C74">
        <v>2</v>
      </c>
      <c r="D74" t="s">
        <v>1</v>
      </c>
      <c r="E74">
        <v>8.6999999999999993</v>
      </c>
      <c r="F74">
        <v>1.2</v>
      </c>
      <c r="G74">
        <v>3</v>
      </c>
      <c r="H74">
        <v>0</v>
      </c>
      <c r="I74" t="s">
        <v>2</v>
      </c>
      <c r="J74">
        <v>8</v>
      </c>
      <c r="K74">
        <v>8</v>
      </c>
      <c r="L74">
        <v>4</v>
      </c>
    </row>
    <row r="75" spans="1:12" x14ac:dyDescent="0.3">
      <c r="A75">
        <v>14</v>
      </c>
      <c r="B75" t="s">
        <v>0</v>
      </c>
      <c r="C75">
        <v>2.7</v>
      </c>
      <c r="D75" t="s">
        <v>1</v>
      </c>
      <c r="E75">
        <v>8.4</v>
      </c>
      <c r="F75">
        <v>1.3</v>
      </c>
      <c r="G75">
        <v>2.0099999999999998</v>
      </c>
      <c r="H75">
        <v>0.6</v>
      </c>
      <c r="I75" t="s">
        <v>2</v>
      </c>
      <c r="J75">
        <v>6</v>
      </c>
      <c r="K75">
        <v>3</v>
      </c>
      <c r="L75">
        <v>8</v>
      </c>
    </row>
    <row r="76" spans="1:12" x14ac:dyDescent="0.3">
      <c r="A76">
        <v>14</v>
      </c>
      <c r="B76" t="s">
        <v>0</v>
      </c>
      <c r="C76">
        <v>1.5</v>
      </c>
      <c r="D76" t="s">
        <v>7</v>
      </c>
      <c r="E76">
        <v>4.3</v>
      </c>
      <c r="F76">
        <v>2.1</v>
      </c>
      <c r="G76">
        <v>3.9</v>
      </c>
      <c r="H76">
        <v>1.5</v>
      </c>
      <c r="I76" t="s">
        <v>2</v>
      </c>
      <c r="J76">
        <v>10</v>
      </c>
      <c r="K76">
        <v>2</v>
      </c>
      <c r="L76">
        <v>4</v>
      </c>
    </row>
    <row r="77" spans="1:12" x14ac:dyDescent="0.3">
      <c r="A77">
        <v>17</v>
      </c>
      <c r="B77" t="s">
        <v>3</v>
      </c>
      <c r="C77">
        <v>6.9</v>
      </c>
      <c r="D77" t="s">
        <v>1</v>
      </c>
      <c r="E77">
        <v>8.1999999999999993</v>
      </c>
      <c r="F77">
        <v>0.8</v>
      </c>
      <c r="G77">
        <v>2.36</v>
      </c>
      <c r="H77">
        <v>0</v>
      </c>
      <c r="I77" t="s">
        <v>6</v>
      </c>
      <c r="J77">
        <v>10</v>
      </c>
      <c r="K77">
        <v>10</v>
      </c>
      <c r="L77">
        <v>7</v>
      </c>
    </row>
    <row r="78" spans="1:12" x14ac:dyDescent="0.3">
      <c r="A78">
        <v>13</v>
      </c>
      <c r="B78" t="s">
        <v>0</v>
      </c>
      <c r="C78">
        <v>1.1000000000000001</v>
      </c>
      <c r="D78" t="s">
        <v>4</v>
      </c>
      <c r="E78">
        <v>7.1</v>
      </c>
      <c r="F78">
        <v>1.8</v>
      </c>
      <c r="G78">
        <v>2.5499999999999998</v>
      </c>
      <c r="H78">
        <v>0.8</v>
      </c>
      <c r="I78" t="s">
        <v>5</v>
      </c>
      <c r="J78">
        <v>5</v>
      </c>
      <c r="K78">
        <v>5</v>
      </c>
      <c r="L78">
        <v>10</v>
      </c>
    </row>
    <row r="79" spans="1:12" x14ac:dyDescent="0.3">
      <c r="A79">
        <v>13</v>
      </c>
      <c r="B79" t="s">
        <v>0</v>
      </c>
      <c r="C79">
        <v>3.4</v>
      </c>
      <c r="D79" t="s">
        <v>4</v>
      </c>
      <c r="E79">
        <v>4.4000000000000004</v>
      </c>
      <c r="F79">
        <v>0.6</v>
      </c>
      <c r="G79">
        <v>3.41</v>
      </c>
      <c r="H79">
        <v>0.2</v>
      </c>
      <c r="I79" t="s">
        <v>2</v>
      </c>
      <c r="J79">
        <v>8</v>
      </c>
      <c r="K79">
        <v>6</v>
      </c>
      <c r="L79">
        <v>3</v>
      </c>
    </row>
    <row r="80" spans="1:12" x14ac:dyDescent="0.3">
      <c r="A80">
        <v>15</v>
      </c>
      <c r="B80" t="s">
        <v>0</v>
      </c>
      <c r="C80">
        <v>6.7</v>
      </c>
      <c r="D80" t="s">
        <v>7</v>
      </c>
      <c r="E80">
        <v>4.5</v>
      </c>
      <c r="F80">
        <v>2.1</v>
      </c>
      <c r="G80">
        <v>3.71</v>
      </c>
      <c r="H80">
        <v>1.3</v>
      </c>
      <c r="I80" t="s">
        <v>5</v>
      </c>
      <c r="J80">
        <v>3</v>
      </c>
      <c r="K80">
        <v>3</v>
      </c>
      <c r="L80">
        <v>3</v>
      </c>
    </row>
    <row r="81" spans="1:12" x14ac:dyDescent="0.3">
      <c r="A81">
        <v>18</v>
      </c>
      <c r="B81" t="s">
        <v>0</v>
      </c>
      <c r="C81">
        <v>1.1000000000000001</v>
      </c>
      <c r="D81" t="s">
        <v>7</v>
      </c>
      <c r="E81">
        <v>7.2</v>
      </c>
      <c r="F81">
        <v>1</v>
      </c>
      <c r="G81">
        <v>3.13</v>
      </c>
      <c r="H81">
        <v>0.6</v>
      </c>
      <c r="I81" t="s">
        <v>6</v>
      </c>
      <c r="J81">
        <v>2</v>
      </c>
      <c r="K81">
        <v>1</v>
      </c>
      <c r="L81">
        <v>4</v>
      </c>
    </row>
    <row r="82" spans="1:12" x14ac:dyDescent="0.3">
      <c r="A82">
        <v>18</v>
      </c>
      <c r="B82" t="s">
        <v>3</v>
      </c>
      <c r="C82">
        <v>7.4</v>
      </c>
      <c r="D82" t="s">
        <v>1</v>
      </c>
      <c r="E82">
        <v>7.5</v>
      </c>
      <c r="F82">
        <v>2.2999999999999998</v>
      </c>
      <c r="G82">
        <v>2.39</v>
      </c>
      <c r="H82">
        <v>0.9</v>
      </c>
      <c r="I82" t="s">
        <v>5</v>
      </c>
      <c r="J82">
        <v>4</v>
      </c>
      <c r="K82">
        <v>1</v>
      </c>
      <c r="L82">
        <v>4</v>
      </c>
    </row>
    <row r="83" spans="1:12" x14ac:dyDescent="0.3">
      <c r="A83">
        <v>19</v>
      </c>
      <c r="B83" t="s">
        <v>3</v>
      </c>
      <c r="C83">
        <v>4.8</v>
      </c>
      <c r="D83" t="s">
        <v>4</v>
      </c>
      <c r="E83">
        <v>6</v>
      </c>
      <c r="F83">
        <v>1.5</v>
      </c>
      <c r="G83">
        <v>2.61</v>
      </c>
      <c r="H83">
        <v>1.2</v>
      </c>
      <c r="I83" t="s">
        <v>5</v>
      </c>
      <c r="J83">
        <v>2</v>
      </c>
      <c r="K83">
        <v>2</v>
      </c>
      <c r="L83">
        <v>6</v>
      </c>
    </row>
    <row r="84" spans="1:12" x14ac:dyDescent="0.3">
      <c r="A84">
        <v>14</v>
      </c>
      <c r="B84" t="s">
        <v>0</v>
      </c>
      <c r="C84">
        <v>1.2</v>
      </c>
      <c r="D84" t="s">
        <v>7</v>
      </c>
      <c r="E84">
        <v>5.2</v>
      </c>
      <c r="F84">
        <v>2.2000000000000002</v>
      </c>
      <c r="G84">
        <v>2.19</v>
      </c>
      <c r="H84">
        <v>1.9</v>
      </c>
      <c r="I84" t="s">
        <v>6</v>
      </c>
      <c r="J84">
        <v>9</v>
      </c>
      <c r="K84">
        <v>9</v>
      </c>
      <c r="L84">
        <v>4</v>
      </c>
    </row>
    <row r="85" spans="1:12" x14ac:dyDescent="0.3">
      <c r="A85">
        <v>13</v>
      </c>
      <c r="B85" t="s">
        <v>0</v>
      </c>
      <c r="C85">
        <v>7.4</v>
      </c>
      <c r="D85" t="s">
        <v>1</v>
      </c>
      <c r="E85">
        <v>5.6</v>
      </c>
      <c r="F85">
        <v>1.4</v>
      </c>
      <c r="G85">
        <v>2.95</v>
      </c>
      <c r="H85">
        <v>1.7</v>
      </c>
      <c r="I85" t="s">
        <v>5</v>
      </c>
      <c r="J85">
        <v>8</v>
      </c>
      <c r="K85">
        <v>5</v>
      </c>
      <c r="L85">
        <v>5</v>
      </c>
    </row>
    <row r="86" spans="1:12" x14ac:dyDescent="0.3">
      <c r="A86">
        <v>16</v>
      </c>
      <c r="B86" t="s">
        <v>3</v>
      </c>
      <c r="C86">
        <v>2.6</v>
      </c>
      <c r="D86" t="s">
        <v>7</v>
      </c>
      <c r="E86">
        <v>8.6</v>
      </c>
      <c r="F86">
        <v>1.3</v>
      </c>
      <c r="G86">
        <v>3.64</v>
      </c>
      <c r="H86">
        <v>1.6</v>
      </c>
      <c r="I86" t="s">
        <v>5</v>
      </c>
      <c r="J86">
        <v>5</v>
      </c>
      <c r="K86">
        <v>3</v>
      </c>
      <c r="L86">
        <v>1</v>
      </c>
    </row>
    <row r="87" spans="1:12" x14ac:dyDescent="0.3">
      <c r="A87">
        <v>17</v>
      </c>
      <c r="B87" t="s">
        <v>3</v>
      </c>
      <c r="C87">
        <v>5</v>
      </c>
      <c r="D87" t="s">
        <v>7</v>
      </c>
      <c r="E87">
        <v>9</v>
      </c>
      <c r="F87">
        <v>2.5</v>
      </c>
      <c r="G87">
        <v>3.4</v>
      </c>
      <c r="H87">
        <v>0.9</v>
      </c>
      <c r="I87" t="s">
        <v>5</v>
      </c>
      <c r="J87">
        <v>8</v>
      </c>
      <c r="K87">
        <v>10</v>
      </c>
      <c r="L87">
        <v>5</v>
      </c>
    </row>
    <row r="88" spans="1:12" x14ac:dyDescent="0.3">
      <c r="A88">
        <v>18</v>
      </c>
      <c r="B88" t="s">
        <v>0</v>
      </c>
      <c r="C88">
        <v>7.5</v>
      </c>
      <c r="D88" t="s">
        <v>1</v>
      </c>
      <c r="E88">
        <v>7.4</v>
      </c>
      <c r="F88">
        <v>1.8</v>
      </c>
      <c r="G88">
        <v>3.47</v>
      </c>
      <c r="H88">
        <v>0</v>
      </c>
      <c r="I88" t="s">
        <v>2</v>
      </c>
      <c r="J88">
        <v>9</v>
      </c>
      <c r="K88">
        <v>4</v>
      </c>
      <c r="L88">
        <v>2</v>
      </c>
    </row>
    <row r="89" spans="1:12" x14ac:dyDescent="0.3">
      <c r="A89">
        <v>17</v>
      </c>
      <c r="B89" t="s">
        <v>3</v>
      </c>
      <c r="C89">
        <v>5.4</v>
      </c>
      <c r="D89" t="s">
        <v>7</v>
      </c>
      <c r="E89">
        <v>5.7</v>
      </c>
      <c r="F89">
        <v>2.5</v>
      </c>
      <c r="G89">
        <v>3.13</v>
      </c>
      <c r="H89">
        <v>1.9</v>
      </c>
      <c r="I89" t="s">
        <v>6</v>
      </c>
      <c r="J89">
        <v>5</v>
      </c>
      <c r="K89">
        <v>10</v>
      </c>
      <c r="L89">
        <v>3</v>
      </c>
    </row>
    <row r="90" spans="1:12" x14ac:dyDescent="0.3">
      <c r="A90">
        <v>17</v>
      </c>
      <c r="B90" t="s">
        <v>3</v>
      </c>
      <c r="C90">
        <v>5.6</v>
      </c>
      <c r="D90" t="s">
        <v>1</v>
      </c>
      <c r="E90">
        <v>5.3</v>
      </c>
      <c r="F90">
        <v>1.7</v>
      </c>
      <c r="G90">
        <v>2.77</v>
      </c>
      <c r="H90">
        <v>0.9</v>
      </c>
      <c r="I90" t="s">
        <v>6</v>
      </c>
      <c r="J90">
        <v>8</v>
      </c>
      <c r="K90">
        <v>4</v>
      </c>
      <c r="L90">
        <v>8</v>
      </c>
    </row>
    <row r="91" spans="1:12" x14ac:dyDescent="0.3">
      <c r="A91">
        <v>18</v>
      </c>
      <c r="B91" t="s">
        <v>0</v>
      </c>
      <c r="C91">
        <v>6.2</v>
      </c>
      <c r="D91" t="s">
        <v>1</v>
      </c>
      <c r="E91">
        <v>4.0999999999999996</v>
      </c>
      <c r="F91">
        <v>2.8</v>
      </c>
      <c r="G91">
        <v>3.41</v>
      </c>
      <c r="H91">
        <v>1.1000000000000001</v>
      </c>
      <c r="I91" t="s">
        <v>6</v>
      </c>
      <c r="J91">
        <v>7</v>
      </c>
      <c r="K91">
        <v>8</v>
      </c>
      <c r="L91">
        <v>1</v>
      </c>
    </row>
    <row r="92" spans="1:12" x14ac:dyDescent="0.3">
      <c r="A92">
        <v>17</v>
      </c>
      <c r="B92" t="s">
        <v>3</v>
      </c>
      <c r="C92">
        <v>4.7</v>
      </c>
      <c r="D92" t="s">
        <v>1</v>
      </c>
      <c r="E92">
        <v>4.7</v>
      </c>
      <c r="F92">
        <v>2.4</v>
      </c>
      <c r="G92">
        <v>3.94</v>
      </c>
      <c r="H92">
        <v>0</v>
      </c>
      <c r="I92" t="s">
        <v>6</v>
      </c>
      <c r="J92">
        <v>10</v>
      </c>
      <c r="K92">
        <v>5</v>
      </c>
      <c r="L92">
        <v>8</v>
      </c>
    </row>
    <row r="93" spans="1:12" x14ac:dyDescent="0.3">
      <c r="A93">
        <v>18</v>
      </c>
      <c r="B93" t="s">
        <v>3</v>
      </c>
      <c r="C93">
        <v>4</v>
      </c>
      <c r="D93" t="s">
        <v>1</v>
      </c>
      <c r="E93">
        <v>4.5999999999999996</v>
      </c>
      <c r="F93">
        <v>2.2000000000000002</v>
      </c>
      <c r="G93">
        <v>3.7</v>
      </c>
      <c r="H93">
        <v>0.6</v>
      </c>
      <c r="I93" t="s">
        <v>6</v>
      </c>
      <c r="J93">
        <v>4</v>
      </c>
      <c r="K93">
        <v>1</v>
      </c>
      <c r="L93">
        <v>4</v>
      </c>
    </row>
    <row r="94" spans="1:12" x14ac:dyDescent="0.3">
      <c r="A94">
        <v>18</v>
      </c>
      <c r="B94" t="s">
        <v>0</v>
      </c>
      <c r="C94">
        <v>6.2</v>
      </c>
      <c r="D94" t="s">
        <v>4</v>
      </c>
      <c r="E94">
        <v>8.6</v>
      </c>
      <c r="F94">
        <v>1.5</v>
      </c>
      <c r="G94">
        <v>3.22</v>
      </c>
      <c r="H94">
        <v>1.6</v>
      </c>
      <c r="I94" t="s">
        <v>2</v>
      </c>
      <c r="J94">
        <v>4</v>
      </c>
      <c r="K94">
        <v>5</v>
      </c>
      <c r="L94">
        <v>7</v>
      </c>
    </row>
    <row r="95" spans="1:12" x14ac:dyDescent="0.3">
      <c r="A95">
        <v>17</v>
      </c>
      <c r="B95" t="s">
        <v>3</v>
      </c>
      <c r="C95">
        <v>5.6</v>
      </c>
      <c r="D95" t="s">
        <v>4</v>
      </c>
      <c r="E95">
        <v>6.8</v>
      </c>
      <c r="F95">
        <v>2</v>
      </c>
      <c r="G95">
        <v>2.2200000000000002</v>
      </c>
      <c r="H95">
        <v>1</v>
      </c>
      <c r="I95" t="s">
        <v>6</v>
      </c>
      <c r="J95">
        <v>6</v>
      </c>
      <c r="K95">
        <v>9</v>
      </c>
      <c r="L95">
        <v>8</v>
      </c>
    </row>
    <row r="96" spans="1:12" x14ac:dyDescent="0.3">
      <c r="A96">
        <v>13</v>
      </c>
      <c r="B96" t="s">
        <v>3</v>
      </c>
      <c r="C96">
        <v>4</v>
      </c>
      <c r="D96" t="s">
        <v>1</v>
      </c>
      <c r="E96">
        <v>4.4000000000000004</v>
      </c>
      <c r="F96">
        <v>2.5</v>
      </c>
      <c r="G96">
        <v>3.6</v>
      </c>
      <c r="H96">
        <v>1.4</v>
      </c>
      <c r="I96" t="s">
        <v>6</v>
      </c>
      <c r="J96">
        <v>7</v>
      </c>
      <c r="K96">
        <v>2</v>
      </c>
      <c r="L96">
        <v>10</v>
      </c>
    </row>
    <row r="97" spans="1:12" x14ac:dyDescent="0.3">
      <c r="A97">
        <v>15</v>
      </c>
      <c r="B97" t="s">
        <v>3</v>
      </c>
      <c r="C97">
        <v>1.8</v>
      </c>
      <c r="D97" t="s">
        <v>1</v>
      </c>
      <c r="E97">
        <v>6.4</v>
      </c>
      <c r="F97">
        <v>2.4</v>
      </c>
      <c r="G97">
        <v>2.16</v>
      </c>
      <c r="H97">
        <v>1.9</v>
      </c>
      <c r="I97" t="s">
        <v>6</v>
      </c>
      <c r="J97">
        <v>3</v>
      </c>
      <c r="K97">
        <v>6</v>
      </c>
      <c r="L97">
        <v>9</v>
      </c>
    </row>
    <row r="98" spans="1:12" x14ac:dyDescent="0.3">
      <c r="A98">
        <v>13</v>
      </c>
      <c r="B98" t="s">
        <v>0</v>
      </c>
      <c r="C98">
        <v>3.1</v>
      </c>
      <c r="D98" t="s">
        <v>4</v>
      </c>
      <c r="E98">
        <v>5.4</v>
      </c>
      <c r="F98">
        <v>1.9</v>
      </c>
      <c r="G98">
        <v>3.66</v>
      </c>
      <c r="H98">
        <v>0.4</v>
      </c>
      <c r="I98" t="s">
        <v>2</v>
      </c>
      <c r="J98">
        <v>7</v>
      </c>
      <c r="K98">
        <v>4</v>
      </c>
      <c r="L98">
        <v>2</v>
      </c>
    </row>
    <row r="99" spans="1:12" x14ac:dyDescent="0.3">
      <c r="A99">
        <v>13</v>
      </c>
      <c r="B99" t="s">
        <v>3</v>
      </c>
      <c r="C99">
        <v>3.5</v>
      </c>
      <c r="D99" t="s">
        <v>4</v>
      </c>
      <c r="E99">
        <v>5.2</v>
      </c>
      <c r="F99">
        <v>2.5</v>
      </c>
      <c r="G99">
        <v>2.57</v>
      </c>
      <c r="H99">
        <v>1.1000000000000001</v>
      </c>
      <c r="I99" t="s">
        <v>5</v>
      </c>
      <c r="J99">
        <v>1</v>
      </c>
      <c r="K99">
        <v>6</v>
      </c>
      <c r="L99">
        <v>3</v>
      </c>
    </row>
    <row r="100" spans="1:12" x14ac:dyDescent="0.3">
      <c r="A100">
        <v>18</v>
      </c>
      <c r="B100" t="s">
        <v>0</v>
      </c>
      <c r="C100">
        <v>7.4</v>
      </c>
      <c r="D100" t="s">
        <v>4</v>
      </c>
      <c r="E100">
        <v>6.4</v>
      </c>
      <c r="F100">
        <v>2.2000000000000002</v>
      </c>
      <c r="G100">
        <v>3.51</v>
      </c>
      <c r="H100">
        <v>1</v>
      </c>
      <c r="I100" t="s">
        <v>5</v>
      </c>
      <c r="J100">
        <v>4</v>
      </c>
      <c r="K100">
        <v>5</v>
      </c>
      <c r="L100">
        <v>4</v>
      </c>
    </row>
    <row r="101" spans="1:12" x14ac:dyDescent="0.3">
      <c r="A101">
        <v>16</v>
      </c>
      <c r="B101" t="s">
        <v>0</v>
      </c>
      <c r="C101">
        <v>8</v>
      </c>
      <c r="D101" t="s">
        <v>1</v>
      </c>
      <c r="E101">
        <v>5.5</v>
      </c>
      <c r="F101">
        <v>1.4</v>
      </c>
      <c r="G101">
        <v>2.95</v>
      </c>
      <c r="H101">
        <v>0.3</v>
      </c>
      <c r="I101" t="s">
        <v>6</v>
      </c>
      <c r="J101">
        <v>2</v>
      </c>
      <c r="K101">
        <v>5</v>
      </c>
      <c r="L101">
        <v>2</v>
      </c>
    </row>
    <row r="102" spans="1:12" x14ac:dyDescent="0.3">
      <c r="A102">
        <v>13</v>
      </c>
      <c r="B102" t="s">
        <v>0</v>
      </c>
      <c r="C102">
        <v>5.0999999999999996</v>
      </c>
      <c r="D102" t="s">
        <v>7</v>
      </c>
      <c r="E102">
        <v>4.0999999999999996</v>
      </c>
      <c r="F102">
        <v>1.6</v>
      </c>
      <c r="G102">
        <v>3.32</v>
      </c>
      <c r="H102">
        <v>0.8</v>
      </c>
      <c r="I102" t="s">
        <v>6</v>
      </c>
      <c r="J102">
        <v>1</v>
      </c>
      <c r="K102">
        <v>3</v>
      </c>
      <c r="L102">
        <v>8</v>
      </c>
    </row>
    <row r="103" spans="1:12" x14ac:dyDescent="0.3">
      <c r="A103">
        <v>18</v>
      </c>
      <c r="B103" t="s">
        <v>3</v>
      </c>
      <c r="C103">
        <v>2.4</v>
      </c>
      <c r="D103" t="s">
        <v>1</v>
      </c>
      <c r="E103">
        <v>6.3</v>
      </c>
      <c r="F103">
        <v>1.3</v>
      </c>
      <c r="G103">
        <v>3.05</v>
      </c>
      <c r="H103">
        <v>1.7</v>
      </c>
      <c r="I103" t="s">
        <v>2</v>
      </c>
      <c r="J103">
        <v>2</v>
      </c>
      <c r="K103">
        <v>9</v>
      </c>
      <c r="L103">
        <v>5</v>
      </c>
    </row>
    <row r="104" spans="1:12" x14ac:dyDescent="0.3">
      <c r="A104">
        <v>13</v>
      </c>
      <c r="B104" t="s">
        <v>0</v>
      </c>
      <c r="C104">
        <v>1.6</v>
      </c>
      <c r="D104" t="s">
        <v>1</v>
      </c>
      <c r="E104">
        <v>4.2</v>
      </c>
      <c r="F104">
        <v>1.5</v>
      </c>
      <c r="G104">
        <v>3.72</v>
      </c>
      <c r="H104">
        <v>1.7</v>
      </c>
      <c r="I104" t="s">
        <v>6</v>
      </c>
      <c r="J104">
        <v>10</v>
      </c>
      <c r="K104">
        <v>1</v>
      </c>
      <c r="L104">
        <v>10</v>
      </c>
    </row>
    <row r="105" spans="1:12" x14ac:dyDescent="0.3">
      <c r="A105">
        <v>18</v>
      </c>
      <c r="B105" t="s">
        <v>0</v>
      </c>
      <c r="C105">
        <v>5.8</v>
      </c>
      <c r="D105" t="s">
        <v>1</v>
      </c>
      <c r="E105">
        <v>6.7</v>
      </c>
      <c r="F105">
        <v>1.9</v>
      </c>
      <c r="G105">
        <v>3</v>
      </c>
      <c r="H105">
        <v>1.9</v>
      </c>
      <c r="I105" t="s">
        <v>2</v>
      </c>
      <c r="J105">
        <v>5</v>
      </c>
      <c r="K105">
        <v>8</v>
      </c>
      <c r="L105">
        <v>2</v>
      </c>
    </row>
    <row r="106" spans="1:12" x14ac:dyDescent="0.3">
      <c r="A106">
        <v>15</v>
      </c>
      <c r="B106" t="s">
        <v>0</v>
      </c>
      <c r="C106">
        <v>2.7</v>
      </c>
      <c r="D106" t="s">
        <v>4</v>
      </c>
      <c r="E106">
        <v>6.6</v>
      </c>
      <c r="F106">
        <v>1.9</v>
      </c>
      <c r="G106">
        <v>2.75</v>
      </c>
      <c r="H106">
        <v>1.9</v>
      </c>
      <c r="I106" t="s">
        <v>6</v>
      </c>
      <c r="J106">
        <v>3</v>
      </c>
      <c r="K106">
        <v>6</v>
      </c>
      <c r="L106">
        <v>6</v>
      </c>
    </row>
    <row r="107" spans="1:12" x14ac:dyDescent="0.3">
      <c r="A107">
        <v>13</v>
      </c>
      <c r="B107" t="s">
        <v>3</v>
      </c>
      <c r="C107">
        <v>4</v>
      </c>
      <c r="D107" t="s">
        <v>7</v>
      </c>
      <c r="E107">
        <v>4.5</v>
      </c>
      <c r="F107">
        <v>1</v>
      </c>
      <c r="G107">
        <v>3.65</v>
      </c>
      <c r="H107">
        <v>1.8</v>
      </c>
      <c r="I107" t="s">
        <v>2</v>
      </c>
      <c r="J107">
        <v>5</v>
      </c>
      <c r="K107">
        <v>6</v>
      </c>
      <c r="L107">
        <v>5</v>
      </c>
    </row>
    <row r="108" spans="1:12" x14ac:dyDescent="0.3">
      <c r="A108">
        <v>18</v>
      </c>
      <c r="B108" t="s">
        <v>0</v>
      </c>
      <c r="C108">
        <v>3.2</v>
      </c>
      <c r="D108" t="s">
        <v>7</v>
      </c>
      <c r="E108">
        <v>8.8000000000000007</v>
      </c>
      <c r="F108">
        <v>1.2</v>
      </c>
      <c r="G108">
        <v>3.71</v>
      </c>
      <c r="H108">
        <v>1.1000000000000001</v>
      </c>
      <c r="I108" t="s">
        <v>6</v>
      </c>
      <c r="J108">
        <v>7</v>
      </c>
      <c r="K108">
        <v>6</v>
      </c>
      <c r="L108">
        <v>10</v>
      </c>
    </row>
    <row r="109" spans="1:12" x14ac:dyDescent="0.3">
      <c r="A109">
        <v>13</v>
      </c>
      <c r="B109" t="s">
        <v>0</v>
      </c>
      <c r="C109">
        <v>1.6</v>
      </c>
      <c r="D109" t="s">
        <v>4</v>
      </c>
      <c r="E109">
        <v>4.3</v>
      </c>
      <c r="F109">
        <v>0.6</v>
      </c>
      <c r="G109">
        <v>3.91</v>
      </c>
      <c r="H109">
        <v>2</v>
      </c>
      <c r="I109" t="s">
        <v>6</v>
      </c>
      <c r="J109">
        <v>5</v>
      </c>
      <c r="K109">
        <v>10</v>
      </c>
      <c r="L109">
        <v>7</v>
      </c>
    </row>
    <row r="110" spans="1:12" x14ac:dyDescent="0.3">
      <c r="A110">
        <v>14</v>
      </c>
      <c r="B110" t="s">
        <v>0</v>
      </c>
      <c r="C110">
        <v>2.2999999999999998</v>
      </c>
      <c r="D110" t="s">
        <v>4</v>
      </c>
      <c r="E110">
        <v>8</v>
      </c>
      <c r="F110">
        <v>2.5</v>
      </c>
      <c r="G110">
        <v>3.08</v>
      </c>
      <c r="H110">
        <v>1.7</v>
      </c>
      <c r="I110" t="s">
        <v>6</v>
      </c>
      <c r="J110">
        <v>5</v>
      </c>
      <c r="K110">
        <v>6</v>
      </c>
      <c r="L110">
        <v>7</v>
      </c>
    </row>
    <row r="111" spans="1:12" x14ac:dyDescent="0.3">
      <c r="A111">
        <v>17</v>
      </c>
      <c r="B111" t="s">
        <v>0</v>
      </c>
      <c r="C111">
        <v>7.7</v>
      </c>
      <c r="D111" t="s">
        <v>4</v>
      </c>
      <c r="E111">
        <v>8.5</v>
      </c>
      <c r="F111">
        <v>1.2</v>
      </c>
      <c r="G111">
        <v>3.56</v>
      </c>
      <c r="H111">
        <v>0</v>
      </c>
      <c r="I111" t="s">
        <v>6</v>
      </c>
      <c r="J111">
        <v>7</v>
      </c>
      <c r="K111">
        <v>10</v>
      </c>
      <c r="L111">
        <v>7</v>
      </c>
    </row>
    <row r="112" spans="1:12" x14ac:dyDescent="0.3">
      <c r="A112">
        <v>16</v>
      </c>
      <c r="B112" t="s">
        <v>0</v>
      </c>
      <c r="C112">
        <v>4.8</v>
      </c>
      <c r="D112" t="s">
        <v>7</v>
      </c>
      <c r="E112">
        <v>7.1</v>
      </c>
      <c r="F112">
        <v>0.6</v>
      </c>
      <c r="G112">
        <v>3.36</v>
      </c>
      <c r="H112">
        <v>0.7</v>
      </c>
      <c r="I112" t="s">
        <v>5</v>
      </c>
      <c r="J112">
        <v>7</v>
      </c>
      <c r="K112">
        <v>6</v>
      </c>
      <c r="L112">
        <v>9</v>
      </c>
    </row>
    <row r="113" spans="1:12" x14ac:dyDescent="0.3">
      <c r="A113">
        <v>17</v>
      </c>
      <c r="B113" t="s">
        <v>3</v>
      </c>
      <c r="C113">
        <v>5.2</v>
      </c>
      <c r="D113" t="s">
        <v>7</v>
      </c>
      <c r="E113">
        <v>6</v>
      </c>
      <c r="F113">
        <v>0.6</v>
      </c>
      <c r="G113">
        <v>3.07</v>
      </c>
      <c r="H113">
        <v>0.6</v>
      </c>
      <c r="I113" t="s">
        <v>6</v>
      </c>
      <c r="J113">
        <v>6</v>
      </c>
      <c r="K113">
        <v>2</v>
      </c>
      <c r="L113">
        <v>9</v>
      </c>
    </row>
    <row r="114" spans="1:12" x14ac:dyDescent="0.3">
      <c r="A114">
        <v>13</v>
      </c>
      <c r="B114" t="s">
        <v>0</v>
      </c>
      <c r="C114">
        <v>5.7</v>
      </c>
      <c r="D114" t="s">
        <v>7</v>
      </c>
      <c r="E114">
        <v>6.6</v>
      </c>
      <c r="F114">
        <v>2.4</v>
      </c>
      <c r="G114">
        <v>3.99</v>
      </c>
      <c r="H114">
        <v>1.7</v>
      </c>
      <c r="I114" t="s">
        <v>5</v>
      </c>
      <c r="J114">
        <v>1</v>
      </c>
      <c r="K114">
        <v>3</v>
      </c>
      <c r="L114">
        <v>1</v>
      </c>
    </row>
    <row r="115" spans="1:12" x14ac:dyDescent="0.3">
      <c r="A115">
        <v>15</v>
      </c>
      <c r="B115" t="s">
        <v>0</v>
      </c>
      <c r="C115">
        <v>4.5999999999999996</v>
      </c>
      <c r="D115" t="s">
        <v>4</v>
      </c>
      <c r="E115">
        <v>5.2</v>
      </c>
      <c r="F115">
        <v>1.4</v>
      </c>
      <c r="G115">
        <v>2.98</v>
      </c>
      <c r="H115">
        <v>1.9</v>
      </c>
      <c r="I115" t="s">
        <v>2</v>
      </c>
      <c r="J115">
        <v>1</v>
      </c>
      <c r="K115">
        <v>4</v>
      </c>
      <c r="L115">
        <v>5</v>
      </c>
    </row>
    <row r="116" spans="1:12" x14ac:dyDescent="0.3">
      <c r="A116">
        <v>13</v>
      </c>
      <c r="B116" t="s">
        <v>0</v>
      </c>
      <c r="C116">
        <v>4.3</v>
      </c>
      <c r="D116" t="s">
        <v>4</v>
      </c>
      <c r="E116">
        <v>7.5</v>
      </c>
      <c r="F116">
        <v>2.7</v>
      </c>
      <c r="G116">
        <v>2.29</v>
      </c>
      <c r="H116">
        <v>0.8</v>
      </c>
      <c r="I116" t="s">
        <v>5</v>
      </c>
      <c r="J116">
        <v>1</v>
      </c>
      <c r="K116">
        <v>10</v>
      </c>
      <c r="L116">
        <v>1</v>
      </c>
    </row>
    <row r="117" spans="1:12" x14ac:dyDescent="0.3">
      <c r="A117">
        <v>17</v>
      </c>
      <c r="B117" t="s">
        <v>3</v>
      </c>
      <c r="C117">
        <v>4.0999999999999996</v>
      </c>
      <c r="D117" t="s">
        <v>1</v>
      </c>
      <c r="E117">
        <v>8.6</v>
      </c>
      <c r="F117">
        <v>3</v>
      </c>
      <c r="G117">
        <v>2.77</v>
      </c>
      <c r="H117">
        <v>0.1</v>
      </c>
      <c r="I117" t="s">
        <v>6</v>
      </c>
      <c r="J117">
        <v>3</v>
      </c>
      <c r="K117">
        <v>6</v>
      </c>
      <c r="L117">
        <v>1</v>
      </c>
    </row>
    <row r="118" spans="1:12" x14ac:dyDescent="0.3">
      <c r="A118">
        <v>15</v>
      </c>
      <c r="B118" t="s">
        <v>0</v>
      </c>
      <c r="C118">
        <v>6.5</v>
      </c>
      <c r="D118" t="s">
        <v>7</v>
      </c>
      <c r="E118">
        <v>8.1</v>
      </c>
      <c r="F118">
        <v>2</v>
      </c>
      <c r="G118">
        <v>3.89</v>
      </c>
      <c r="H118">
        <v>1.3</v>
      </c>
      <c r="I118" t="s">
        <v>5</v>
      </c>
      <c r="J118">
        <v>8</v>
      </c>
      <c r="K118">
        <v>2</v>
      </c>
      <c r="L118">
        <v>2</v>
      </c>
    </row>
    <row r="119" spans="1:12" x14ac:dyDescent="0.3">
      <c r="A119">
        <v>19</v>
      </c>
      <c r="B119" t="s">
        <v>3</v>
      </c>
      <c r="C119">
        <v>7.8</v>
      </c>
      <c r="D119" t="s">
        <v>7</v>
      </c>
      <c r="E119">
        <v>8.8000000000000007</v>
      </c>
      <c r="F119">
        <v>2.1</v>
      </c>
      <c r="G119">
        <v>3.75</v>
      </c>
      <c r="H119">
        <v>1.3</v>
      </c>
      <c r="I119" t="s">
        <v>5</v>
      </c>
      <c r="J119">
        <v>10</v>
      </c>
      <c r="K119">
        <v>9</v>
      </c>
      <c r="L119">
        <v>6</v>
      </c>
    </row>
    <row r="120" spans="1:12" x14ac:dyDescent="0.3">
      <c r="A120">
        <v>17</v>
      </c>
      <c r="B120" t="s">
        <v>0</v>
      </c>
      <c r="C120">
        <v>6.5</v>
      </c>
      <c r="D120" t="s">
        <v>1</v>
      </c>
      <c r="E120">
        <v>4.0999999999999996</v>
      </c>
      <c r="F120">
        <v>2.7</v>
      </c>
      <c r="G120">
        <v>3.66</v>
      </c>
      <c r="H120">
        <v>1.1000000000000001</v>
      </c>
      <c r="I120" t="s">
        <v>6</v>
      </c>
      <c r="J120">
        <v>6</v>
      </c>
      <c r="K120">
        <v>10</v>
      </c>
      <c r="L120">
        <v>10</v>
      </c>
    </row>
    <row r="121" spans="1:12" x14ac:dyDescent="0.3">
      <c r="A121">
        <v>17</v>
      </c>
      <c r="B121" t="s">
        <v>3</v>
      </c>
      <c r="C121">
        <v>3.2</v>
      </c>
      <c r="D121" t="s">
        <v>4</v>
      </c>
      <c r="E121">
        <v>4.2</v>
      </c>
      <c r="F121">
        <v>0.6</v>
      </c>
      <c r="G121">
        <v>2.21</v>
      </c>
      <c r="H121">
        <v>1.4</v>
      </c>
      <c r="I121" t="s">
        <v>6</v>
      </c>
      <c r="J121">
        <v>6</v>
      </c>
      <c r="K121">
        <v>6</v>
      </c>
      <c r="L121">
        <v>3</v>
      </c>
    </row>
    <row r="122" spans="1:12" x14ac:dyDescent="0.3">
      <c r="A122">
        <v>13</v>
      </c>
      <c r="B122" t="s">
        <v>0</v>
      </c>
      <c r="C122">
        <v>2.4</v>
      </c>
      <c r="D122" t="s">
        <v>4</v>
      </c>
      <c r="E122">
        <v>4.0999999999999996</v>
      </c>
      <c r="F122">
        <v>0.8</v>
      </c>
      <c r="G122">
        <v>2.79</v>
      </c>
      <c r="H122">
        <v>1.1000000000000001</v>
      </c>
      <c r="I122" t="s">
        <v>6</v>
      </c>
      <c r="J122">
        <v>8</v>
      </c>
      <c r="K122">
        <v>6</v>
      </c>
      <c r="L122">
        <v>3</v>
      </c>
    </row>
    <row r="123" spans="1:12" x14ac:dyDescent="0.3">
      <c r="A123">
        <v>15</v>
      </c>
      <c r="B123" t="s">
        <v>3</v>
      </c>
      <c r="C123">
        <v>4</v>
      </c>
      <c r="D123" t="s">
        <v>1</v>
      </c>
      <c r="E123">
        <v>8.1</v>
      </c>
      <c r="F123">
        <v>2.1</v>
      </c>
      <c r="G123">
        <v>2.0099999999999998</v>
      </c>
      <c r="H123">
        <v>0.4</v>
      </c>
      <c r="I123" t="s">
        <v>6</v>
      </c>
      <c r="J123">
        <v>4</v>
      </c>
      <c r="K123">
        <v>8</v>
      </c>
      <c r="L123">
        <v>8</v>
      </c>
    </row>
    <row r="124" spans="1:12" x14ac:dyDescent="0.3">
      <c r="A124">
        <v>17</v>
      </c>
      <c r="B124" t="s">
        <v>3</v>
      </c>
      <c r="C124">
        <v>6</v>
      </c>
      <c r="D124" t="s">
        <v>7</v>
      </c>
      <c r="E124">
        <v>8.8000000000000007</v>
      </c>
      <c r="F124">
        <v>1.3</v>
      </c>
      <c r="G124">
        <v>4</v>
      </c>
      <c r="H124">
        <v>0.9</v>
      </c>
      <c r="I124" t="s">
        <v>6</v>
      </c>
      <c r="J124">
        <v>8</v>
      </c>
      <c r="K124">
        <v>10</v>
      </c>
      <c r="L124">
        <v>7</v>
      </c>
    </row>
    <row r="125" spans="1:12" x14ac:dyDescent="0.3">
      <c r="A125">
        <v>18</v>
      </c>
      <c r="B125" t="s">
        <v>0</v>
      </c>
      <c r="C125">
        <v>1.2</v>
      </c>
      <c r="D125" t="s">
        <v>4</v>
      </c>
      <c r="E125">
        <v>8</v>
      </c>
      <c r="F125">
        <v>1.7</v>
      </c>
      <c r="G125">
        <v>3.12</v>
      </c>
      <c r="H125">
        <v>0.1</v>
      </c>
      <c r="I125" t="s">
        <v>2</v>
      </c>
      <c r="J125">
        <v>6</v>
      </c>
      <c r="K125">
        <v>4</v>
      </c>
      <c r="L125">
        <v>2</v>
      </c>
    </row>
    <row r="126" spans="1:12" x14ac:dyDescent="0.3">
      <c r="A126">
        <v>16</v>
      </c>
      <c r="B126" t="s">
        <v>0</v>
      </c>
      <c r="C126">
        <v>5.7</v>
      </c>
      <c r="D126" t="s">
        <v>7</v>
      </c>
      <c r="E126">
        <v>5.8</v>
      </c>
      <c r="F126">
        <v>2.8</v>
      </c>
      <c r="G126">
        <v>2.17</v>
      </c>
      <c r="H126">
        <v>0.5</v>
      </c>
      <c r="I126" t="s">
        <v>6</v>
      </c>
      <c r="J126">
        <v>3</v>
      </c>
      <c r="K126">
        <v>9</v>
      </c>
      <c r="L126">
        <v>2</v>
      </c>
    </row>
    <row r="127" spans="1:12" x14ac:dyDescent="0.3">
      <c r="A127">
        <v>19</v>
      </c>
      <c r="B127" t="s">
        <v>0</v>
      </c>
      <c r="C127">
        <v>6.5</v>
      </c>
      <c r="D127" t="s">
        <v>7</v>
      </c>
      <c r="E127">
        <v>8.1</v>
      </c>
      <c r="F127">
        <v>2.2999999999999998</v>
      </c>
      <c r="G127">
        <v>2.21</v>
      </c>
      <c r="H127">
        <v>0.4</v>
      </c>
      <c r="I127" t="s">
        <v>5</v>
      </c>
      <c r="J127">
        <v>8</v>
      </c>
      <c r="K127">
        <v>8</v>
      </c>
      <c r="L127">
        <v>6</v>
      </c>
    </row>
    <row r="128" spans="1:12" x14ac:dyDescent="0.3">
      <c r="A128">
        <v>16</v>
      </c>
      <c r="B128" t="s">
        <v>0</v>
      </c>
      <c r="C128">
        <v>6.6</v>
      </c>
      <c r="D128" t="s">
        <v>1</v>
      </c>
      <c r="E128">
        <v>5.6</v>
      </c>
      <c r="F128">
        <v>0.8</v>
      </c>
      <c r="G128">
        <v>3.48</v>
      </c>
      <c r="H128">
        <v>1.7</v>
      </c>
      <c r="I128" t="s">
        <v>6</v>
      </c>
      <c r="J128">
        <v>4</v>
      </c>
      <c r="K128">
        <v>3</v>
      </c>
      <c r="L128">
        <v>4</v>
      </c>
    </row>
    <row r="129" spans="1:12" x14ac:dyDescent="0.3">
      <c r="A129">
        <v>13</v>
      </c>
      <c r="B129" t="s">
        <v>0</v>
      </c>
      <c r="C129">
        <v>6</v>
      </c>
      <c r="D129" t="s">
        <v>4</v>
      </c>
      <c r="E129">
        <v>7.2</v>
      </c>
      <c r="F129">
        <v>1.5</v>
      </c>
      <c r="G129">
        <v>2.36</v>
      </c>
      <c r="H129">
        <v>0.2</v>
      </c>
      <c r="I129" t="s">
        <v>2</v>
      </c>
      <c r="J129">
        <v>1</v>
      </c>
      <c r="K129">
        <v>3</v>
      </c>
      <c r="L129">
        <v>4</v>
      </c>
    </row>
    <row r="130" spans="1:12" x14ac:dyDescent="0.3">
      <c r="A130">
        <v>18</v>
      </c>
      <c r="B130" t="s">
        <v>3</v>
      </c>
      <c r="C130">
        <v>1.1000000000000001</v>
      </c>
      <c r="D130" t="s">
        <v>7</v>
      </c>
      <c r="E130">
        <v>8</v>
      </c>
      <c r="F130">
        <v>2.7</v>
      </c>
      <c r="G130">
        <v>2.04</v>
      </c>
      <c r="H130">
        <v>0.1</v>
      </c>
      <c r="I130" t="s">
        <v>2</v>
      </c>
      <c r="J130">
        <v>7</v>
      </c>
      <c r="K130">
        <v>10</v>
      </c>
      <c r="L130">
        <v>2</v>
      </c>
    </row>
    <row r="131" spans="1:12" x14ac:dyDescent="0.3">
      <c r="A131">
        <v>13</v>
      </c>
      <c r="B131" t="s">
        <v>3</v>
      </c>
      <c r="C131">
        <v>3.8</v>
      </c>
      <c r="D131" t="s">
        <v>1</v>
      </c>
      <c r="E131">
        <v>7.9</v>
      </c>
      <c r="F131">
        <v>1.3</v>
      </c>
      <c r="G131">
        <v>3.97</v>
      </c>
      <c r="H131">
        <v>0.2</v>
      </c>
      <c r="I131" t="s">
        <v>6</v>
      </c>
      <c r="J131">
        <v>7</v>
      </c>
      <c r="K131">
        <v>10</v>
      </c>
      <c r="L131">
        <v>9</v>
      </c>
    </row>
    <row r="132" spans="1:12" x14ac:dyDescent="0.3">
      <c r="A132">
        <v>13</v>
      </c>
      <c r="B132" t="s">
        <v>3</v>
      </c>
      <c r="C132">
        <v>4.7</v>
      </c>
      <c r="D132" t="s">
        <v>7</v>
      </c>
      <c r="E132">
        <v>6.8</v>
      </c>
      <c r="F132">
        <v>1.7</v>
      </c>
      <c r="G132">
        <v>3.27</v>
      </c>
      <c r="H132">
        <v>1.4</v>
      </c>
      <c r="I132" t="s">
        <v>2</v>
      </c>
      <c r="J132">
        <v>4</v>
      </c>
      <c r="K132">
        <v>2</v>
      </c>
      <c r="L132">
        <v>4</v>
      </c>
    </row>
    <row r="133" spans="1:12" x14ac:dyDescent="0.3">
      <c r="A133">
        <v>15</v>
      </c>
      <c r="B133" t="s">
        <v>0</v>
      </c>
      <c r="C133">
        <v>7.4</v>
      </c>
      <c r="D133" t="s">
        <v>4</v>
      </c>
      <c r="E133">
        <v>6.3</v>
      </c>
      <c r="F133">
        <v>1.3</v>
      </c>
      <c r="G133">
        <v>3.47</v>
      </c>
      <c r="H133">
        <v>1.2</v>
      </c>
      <c r="I133" t="s">
        <v>6</v>
      </c>
      <c r="J133">
        <v>1</v>
      </c>
      <c r="K133">
        <v>3</v>
      </c>
      <c r="L133">
        <v>9</v>
      </c>
    </row>
    <row r="134" spans="1:12" x14ac:dyDescent="0.3">
      <c r="A134">
        <v>17</v>
      </c>
      <c r="B134" t="s">
        <v>0</v>
      </c>
      <c r="C134">
        <v>3.9</v>
      </c>
      <c r="D134" t="s">
        <v>1</v>
      </c>
      <c r="E134">
        <v>7.1</v>
      </c>
      <c r="F134">
        <v>2.4</v>
      </c>
      <c r="G134">
        <v>3.82</v>
      </c>
      <c r="H134">
        <v>0.8</v>
      </c>
      <c r="I134" t="s">
        <v>5</v>
      </c>
      <c r="J134">
        <v>3</v>
      </c>
      <c r="K134">
        <v>6</v>
      </c>
      <c r="L134">
        <v>10</v>
      </c>
    </row>
    <row r="135" spans="1:12" x14ac:dyDescent="0.3">
      <c r="A135">
        <v>18</v>
      </c>
      <c r="B135" t="s">
        <v>0</v>
      </c>
      <c r="C135">
        <v>3.1</v>
      </c>
      <c r="D135" t="s">
        <v>1</v>
      </c>
      <c r="E135">
        <v>5.7</v>
      </c>
      <c r="F135">
        <v>2.9</v>
      </c>
      <c r="G135">
        <v>3.1</v>
      </c>
      <c r="H135">
        <v>0.6</v>
      </c>
      <c r="I135" t="s">
        <v>6</v>
      </c>
      <c r="J135">
        <v>9</v>
      </c>
      <c r="K135">
        <v>4</v>
      </c>
      <c r="L135">
        <v>2</v>
      </c>
    </row>
    <row r="136" spans="1:12" x14ac:dyDescent="0.3">
      <c r="A136">
        <v>16</v>
      </c>
      <c r="B136" t="s">
        <v>3</v>
      </c>
      <c r="C136">
        <v>2.6</v>
      </c>
      <c r="D136" t="s">
        <v>4</v>
      </c>
      <c r="E136">
        <v>8.8000000000000007</v>
      </c>
      <c r="F136">
        <v>1.7</v>
      </c>
      <c r="G136">
        <v>2.39</v>
      </c>
      <c r="H136">
        <v>1</v>
      </c>
      <c r="I136" t="s">
        <v>6</v>
      </c>
      <c r="J136">
        <v>5</v>
      </c>
      <c r="K136">
        <v>2</v>
      </c>
      <c r="L136">
        <v>6</v>
      </c>
    </row>
    <row r="137" spans="1:12" x14ac:dyDescent="0.3">
      <c r="A137">
        <v>13</v>
      </c>
      <c r="B137" t="s">
        <v>0</v>
      </c>
      <c r="C137">
        <v>5</v>
      </c>
      <c r="D137" t="s">
        <v>4</v>
      </c>
      <c r="E137">
        <v>6.9</v>
      </c>
      <c r="F137">
        <v>0.6</v>
      </c>
      <c r="G137">
        <v>3.03</v>
      </c>
      <c r="H137">
        <v>0.8</v>
      </c>
      <c r="I137" t="s">
        <v>2</v>
      </c>
      <c r="J137">
        <v>9</v>
      </c>
      <c r="K137">
        <v>3</v>
      </c>
      <c r="L137">
        <v>8</v>
      </c>
    </row>
    <row r="138" spans="1:12" x14ac:dyDescent="0.3">
      <c r="A138">
        <v>18</v>
      </c>
      <c r="B138" t="s">
        <v>0</v>
      </c>
      <c r="C138">
        <v>4.5</v>
      </c>
      <c r="D138" t="s">
        <v>1</v>
      </c>
      <c r="E138">
        <v>8.1</v>
      </c>
      <c r="F138">
        <v>1.6</v>
      </c>
      <c r="G138">
        <v>3.72</v>
      </c>
      <c r="H138">
        <v>1.2</v>
      </c>
      <c r="I138" t="s">
        <v>2</v>
      </c>
      <c r="J138">
        <v>1</v>
      </c>
      <c r="K138">
        <v>2</v>
      </c>
      <c r="L138">
        <v>1</v>
      </c>
    </row>
    <row r="139" spans="1:12" x14ac:dyDescent="0.3">
      <c r="A139">
        <v>17</v>
      </c>
      <c r="B139" t="s">
        <v>0</v>
      </c>
      <c r="C139">
        <v>2.1</v>
      </c>
      <c r="D139" t="s">
        <v>4</v>
      </c>
      <c r="E139">
        <v>4.7</v>
      </c>
      <c r="F139">
        <v>2</v>
      </c>
      <c r="G139">
        <v>2.99</v>
      </c>
      <c r="H139">
        <v>1.9</v>
      </c>
      <c r="I139" t="s">
        <v>2</v>
      </c>
      <c r="J139">
        <v>5</v>
      </c>
      <c r="K139">
        <v>1</v>
      </c>
      <c r="L139">
        <v>8</v>
      </c>
    </row>
    <row r="140" spans="1:12" x14ac:dyDescent="0.3">
      <c r="A140">
        <v>14</v>
      </c>
      <c r="B140" t="s">
        <v>3</v>
      </c>
      <c r="C140">
        <v>6.4</v>
      </c>
      <c r="D140" t="s">
        <v>1</v>
      </c>
      <c r="E140">
        <v>6</v>
      </c>
      <c r="F140">
        <v>1.1000000000000001</v>
      </c>
      <c r="G140">
        <v>3.81</v>
      </c>
      <c r="H140">
        <v>0.9</v>
      </c>
      <c r="I140" t="s">
        <v>6</v>
      </c>
      <c r="J140">
        <v>8</v>
      </c>
      <c r="K140">
        <v>2</v>
      </c>
      <c r="L140">
        <v>3</v>
      </c>
    </row>
    <row r="141" spans="1:12" x14ac:dyDescent="0.3">
      <c r="A141">
        <v>15</v>
      </c>
      <c r="B141" t="s">
        <v>3</v>
      </c>
      <c r="C141">
        <v>2.2999999999999998</v>
      </c>
      <c r="D141" t="s">
        <v>4</v>
      </c>
      <c r="E141">
        <v>6.5</v>
      </c>
      <c r="F141">
        <v>2.6</v>
      </c>
      <c r="G141">
        <v>3.18</v>
      </c>
      <c r="H141">
        <v>0.1</v>
      </c>
      <c r="I141" t="s">
        <v>2</v>
      </c>
      <c r="J141">
        <v>1</v>
      </c>
      <c r="K141">
        <v>8</v>
      </c>
      <c r="L141">
        <v>4</v>
      </c>
    </row>
    <row r="142" spans="1:12" x14ac:dyDescent="0.3">
      <c r="A142">
        <v>13</v>
      </c>
      <c r="B142" t="s">
        <v>3</v>
      </c>
      <c r="C142">
        <v>4.4000000000000004</v>
      </c>
      <c r="D142" t="s">
        <v>4</v>
      </c>
      <c r="E142">
        <v>8.8000000000000007</v>
      </c>
      <c r="F142">
        <v>1.3</v>
      </c>
      <c r="G142">
        <v>2.69</v>
      </c>
      <c r="H142">
        <v>0.4</v>
      </c>
      <c r="I142" t="s">
        <v>2</v>
      </c>
      <c r="J142">
        <v>3</v>
      </c>
      <c r="K142">
        <v>1</v>
      </c>
      <c r="L142">
        <v>7</v>
      </c>
    </row>
    <row r="143" spans="1:12" x14ac:dyDescent="0.3">
      <c r="A143">
        <v>19</v>
      </c>
      <c r="B143" t="s">
        <v>0</v>
      </c>
      <c r="C143">
        <v>2.2999999999999998</v>
      </c>
      <c r="D143" t="s">
        <v>1</v>
      </c>
      <c r="E143">
        <v>6.9</v>
      </c>
      <c r="F143">
        <v>2.2999999999999998</v>
      </c>
      <c r="G143">
        <v>2.17</v>
      </c>
      <c r="H143">
        <v>1.6</v>
      </c>
      <c r="I143" t="s">
        <v>6</v>
      </c>
      <c r="J143">
        <v>3</v>
      </c>
      <c r="K143">
        <v>6</v>
      </c>
      <c r="L143">
        <v>10</v>
      </c>
    </row>
    <row r="144" spans="1:12" x14ac:dyDescent="0.3">
      <c r="A144">
        <v>13</v>
      </c>
      <c r="B144" t="s">
        <v>0</v>
      </c>
      <c r="C144">
        <v>4.3</v>
      </c>
      <c r="D144" t="s">
        <v>1</v>
      </c>
      <c r="E144">
        <v>4.4000000000000004</v>
      </c>
      <c r="F144">
        <v>0.7</v>
      </c>
      <c r="G144">
        <v>3.19</v>
      </c>
      <c r="H144">
        <v>0.3</v>
      </c>
      <c r="I144" t="s">
        <v>2</v>
      </c>
      <c r="J144">
        <v>6</v>
      </c>
      <c r="K144">
        <v>2</v>
      </c>
      <c r="L144">
        <v>6</v>
      </c>
    </row>
    <row r="145" spans="1:12" x14ac:dyDescent="0.3">
      <c r="A145">
        <v>18</v>
      </c>
      <c r="B145" t="s">
        <v>3</v>
      </c>
      <c r="C145">
        <v>3.9</v>
      </c>
      <c r="D145" t="s">
        <v>4</v>
      </c>
      <c r="E145">
        <v>5.2</v>
      </c>
      <c r="F145">
        <v>1.8</v>
      </c>
      <c r="G145">
        <v>2.41</v>
      </c>
      <c r="H145">
        <v>0.6</v>
      </c>
      <c r="I145" t="s">
        <v>5</v>
      </c>
      <c r="J145">
        <v>9</v>
      </c>
      <c r="K145">
        <v>5</v>
      </c>
      <c r="L145">
        <v>5</v>
      </c>
    </row>
    <row r="146" spans="1:12" x14ac:dyDescent="0.3">
      <c r="A146">
        <v>18</v>
      </c>
      <c r="B146" t="s">
        <v>0</v>
      </c>
      <c r="C146">
        <v>2.9</v>
      </c>
      <c r="D146" t="s">
        <v>4</v>
      </c>
      <c r="E146">
        <v>7.5</v>
      </c>
      <c r="F146">
        <v>0.9</v>
      </c>
      <c r="G146">
        <v>2.62</v>
      </c>
      <c r="H146">
        <v>2</v>
      </c>
      <c r="I146" t="s">
        <v>5</v>
      </c>
      <c r="J146">
        <v>3</v>
      </c>
      <c r="K146">
        <v>1</v>
      </c>
      <c r="L146">
        <v>9</v>
      </c>
    </row>
    <row r="147" spans="1:12" x14ac:dyDescent="0.3">
      <c r="A147">
        <v>14</v>
      </c>
      <c r="B147" t="s">
        <v>0</v>
      </c>
      <c r="C147">
        <v>2.1</v>
      </c>
      <c r="D147" t="s">
        <v>1</v>
      </c>
      <c r="E147">
        <v>8.5</v>
      </c>
      <c r="F147">
        <v>1.1000000000000001</v>
      </c>
      <c r="G147">
        <v>3.03</v>
      </c>
      <c r="H147">
        <v>1.6</v>
      </c>
      <c r="I147" t="s">
        <v>6</v>
      </c>
      <c r="J147">
        <v>5</v>
      </c>
      <c r="K147">
        <v>6</v>
      </c>
      <c r="L147">
        <v>7</v>
      </c>
    </row>
    <row r="148" spans="1:12" x14ac:dyDescent="0.3">
      <c r="A148">
        <v>14</v>
      </c>
      <c r="B148" t="s">
        <v>0</v>
      </c>
      <c r="C148">
        <v>2.1</v>
      </c>
      <c r="D148" t="s">
        <v>4</v>
      </c>
      <c r="E148">
        <v>5</v>
      </c>
      <c r="F148">
        <v>1.4</v>
      </c>
      <c r="G148">
        <v>2.96</v>
      </c>
      <c r="H148">
        <v>1.1000000000000001</v>
      </c>
      <c r="I148" t="s">
        <v>2</v>
      </c>
      <c r="J148">
        <v>7</v>
      </c>
      <c r="K148">
        <v>1</v>
      </c>
      <c r="L148">
        <v>9</v>
      </c>
    </row>
    <row r="149" spans="1:12" x14ac:dyDescent="0.3">
      <c r="A149">
        <v>16</v>
      </c>
      <c r="B149" t="s">
        <v>0</v>
      </c>
      <c r="C149">
        <v>3.8</v>
      </c>
      <c r="D149" t="s">
        <v>4</v>
      </c>
      <c r="E149">
        <v>5.7</v>
      </c>
      <c r="F149">
        <v>1.3</v>
      </c>
      <c r="G149">
        <v>3.84</v>
      </c>
      <c r="H149">
        <v>1.6</v>
      </c>
      <c r="I149" t="s">
        <v>6</v>
      </c>
      <c r="J149">
        <v>3</v>
      </c>
      <c r="K149">
        <v>4</v>
      </c>
      <c r="L149">
        <v>10</v>
      </c>
    </row>
    <row r="150" spans="1:12" x14ac:dyDescent="0.3">
      <c r="A150">
        <v>15</v>
      </c>
      <c r="B150" t="s">
        <v>3</v>
      </c>
      <c r="C150">
        <v>1.1000000000000001</v>
      </c>
      <c r="D150" t="s">
        <v>4</v>
      </c>
      <c r="E150">
        <v>8.1999999999999993</v>
      </c>
      <c r="F150">
        <v>0.7</v>
      </c>
      <c r="G150">
        <v>2.94</v>
      </c>
      <c r="H150">
        <v>0.7</v>
      </c>
      <c r="I150" t="s">
        <v>5</v>
      </c>
      <c r="J150">
        <v>10</v>
      </c>
      <c r="K150">
        <v>7</v>
      </c>
      <c r="L150">
        <v>9</v>
      </c>
    </row>
    <row r="151" spans="1:12" x14ac:dyDescent="0.3">
      <c r="A151">
        <v>14</v>
      </c>
      <c r="B151" t="s">
        <v>0</v>
      </c>
      <c r="C151">
        <v>2.5</v>
      </c>
      <c r="D151" t="s">
        <v>7</v>
      </c>
      <c r="E151">
        <v>5.3</v>
      </c>
      <c r="F151">
        <v>2.4</v>
      </c>
      <c r="G151">
        <v>3.87</v>
      </c>
      <c r="H151">
        <v>1.3</v>
      </c>
      <c r="I151" t="s">
        <v>5</v>
      </c>
      <c r="J151">
        <v>10</v>
      </c>
      <c r="K151">
        <v>9</v>
      </c>
      <c r="L151">
        <v>6</v>
      </c>
    </row>
    <row r="152" spans="1:12" x14ac:dyDescent="0.3">
      <c r="A152">
        <v>19</v>
      </c>
      <c r="B152" t="s">
        <v>3</v>
      </c>
      <c r="C152">
        <v>4.0999999999999996</v>
      </c>
      <c r="D152" t="s">
        <v>1</v>
      </c>
      <c r="E152">
        <v>6.4</v>
      </c>
      <c r="F152">
        <v>0.9</v>
      </c>
      <c r="G152">
        <v>2.4700000000000002</v>
      </c>
      <c r="H152">
        <v>1.2</v>
      </c>
      <c r="I152" t="s">
        <v>5</v>
      </c>
      <c r="J152">
        <v>7</v>
      </c>
      <c r="K152">
        <v>3</v>
      </c>
      <c r="L152">
        <v>4</v>
      </c>
    </row>
    <row r="153" spans="1:12" x14ac:dyDescent="0.3">
      <c r="A153">
        <v>16</v>
      </c>
      <c r="B153" t="s">
        <v>0</v>
      </c>
      <c r="C153">
        <v>3</v>
      </c>
      <c r="D153" t="s">
        <v>1</v>
      </c>
      <c r="E153">
        <v>8.6</v>
      </c>
      <c r="F153">
        <v>1.5</v>
      </c>
      <c r="G153">
        <v>2.84</v>
      </c>
      <c r="H153">
        <v>0.3</v>
      </c>
      <c r="I153" t="s">
        <v>5</v>
      </c>
      <c r="J153">
        <v>6</v>
      </c>
      <c r="K153">
        <v>4</v>
      </c>
      <c r="L153">
        <v>3</v>
      </c>
    </row>
    <row r="154" spans="1:12" x14ac:dyDescent="0.3">
      <c r="A154">
        <v>13</v>
      </c>
      <c r="B154" t="s">
        <v>3</v>
      </c>
      <c r="C154">
        <v>3.9</v>
      </c>
      <c r="D154" t="s">
        <v>1</v>
      </c>
      <c r="E154">
        <v>5</v>
      </c>
      <c r="F154">
        <v>0.7</v>
      </c>
      <c r="G154">
        <v>2.98</v>
      </c>
      <c r="H154">
        <v>0.3</v>
      </c>
      <c r="I154" t="s">
        <v>6</v>
      </c>
      <c r="J154">
        <v>10</v>
      </c>
      <c r="K154">
        <v>8</v>
      </c>
      <c r="L154">
        <v>3</v>
      </c>
    </row>
    <row r="155" spans="1:12" x14ac:dyDescent="0.3">
      <c r="A155">
        <v>13</v>
      </c>
      <c r="B155" t="s">
        <v>0</v>
      </c>
      <c r="C155">
        <v>7</v>
      </c>
      <c r="D155" t="s">
        <v>4</v>
      </c>
      <c r="E155">
        <v>8.9</v>
      </c>
      <c r="F155">
        <v>0.6</v>
      </c>
      <c r="G155">
        <v>2.7</v>
      </c>
      <c r="H155">
        <v>1.8</v>
      </c>
      <c r="I155" t="s">
        <v>6</v>
      </c>
      <c r="J155">
        <v>5</v>
      </c>
      <c r="K155">
        <v>4</v>
      </c>
      <c r="L155">
        <v>1</v>
      </c>
    </row>
    <row r="156" spans="1:12" x14ac:dyDescent="0.3">
      <c r="A156">
        <v>16</v>
      </c>
      <c r="B156" t="s">
        <v>0</v>
      </c>
      <c r="C156">
        <v>3.6</v>
      </c>
      <c r="D156" t="s">
        <v>7</v>
      </c>
      <c r="E156">
        <v>8.9</v>
      </c>
      <c r="F156">
        <v>1.9</v>
      </c>
      <c r="G156">
        <v>2.11</v>
      </c>
      <c r="H156">
        <v>1.7</v>
      </c>
      <c r="I156" t="s">
        <v>2</v>
      </c>
      <c r="J156">
        <v>9</v>
      </c>
      <c r="K156">
        <v>5</v>
      </c>
      <c r="L156">
        <v>2</v>
      </c>
    </row>
    <row r="157" spans="1:12" x14ac:dyDescent="0.3">
      <c r="A157">
        <v>15</v>
      </c>
      <c r="B157" t="s">
        <v>0</v>
      </c>
      <c r="C157">
        <v>7.6</v>
      </c>
      <c r="D157" t="s">
        <v>1</v>
      </c>
      <c r="E157">
        <v>7.6</v>
      </c>
      <c r="F157">
        <v>2.7</v>
      </c>
      <c r="G157">
        <v>2.36</v>
      </c>
      <c r="H157">
        <v>1.2</v>
      </c>
      <c r="I157" t="s">
        <v>6</v>
      </c>
      <c r="J157">
        <v>5</v>
      </c>
      <c r="K157">
        <v>10</v>
      </c>
      <c r="L157">
        <v>3</v>
      </c>
    </row>
    <row r="158" spans="1:12" x14ac:dyDescent="0.3">
      <c r="A158">
        <v>19</v>
      </c>
      <c r="B158" t="s">
        <v>0</v>
      </c>
      <c r="C158">
        <v>1.3</v>
      </c>
      <c r="D158" t="s">
        <v>1</v>
      </c>
      <c r="E158">
        <v>4.5</v>
      </c>
      <c r="F158">
        <v>0.7</v>
      </c>
      <c r="G158">
        <v>2.5099999999999998</v>
      </c>
      <c r="H158">
        <v>0.8</v>
      </c>
      <c r="I158" t="s">
        <v>2</v>
      </c>
      <c r="J158">
        <v>10</v>
      </c>
      <c r="K158">
        <v>9</v>
      </c>
      <c r="L158">
        <v>7</v>
      </c>
    </row>
    <row r="159" spans="1:12" x14ac:dyDescent="0.3">
      <c r="A159">
        <v>17</v>
      </c>
      <c r="B159" t="s">
        <v>3</v>
      </c>
      <c r="C159">
        <v>2.1</v>
      </c>
      <c r="D159" t="s">
        <v>7</v>
      </c>
      <c r="E159">
        <v>7.8</v>
      </c>
      <c r="F159">
        <v>2.1</v>
      </c>
      <c r="G159">
        <v>3.29</v>
      </c>
      <c r="H159">
        <v>1.5</v>
      </c>
      <c r="I159" t="s">
        <v>2</v>
      </c>
      <c r="J159">
        <v>8</v>
      </c>
      <c r="K159">
        <v>1</v>
      </c>
      <c r="L159">
        <v>7</v>
      </c>
    </row>
    <row r="160" spans="1:12" x14ac:dyDescent="0.3">
      <c r="A160">
        <v>15</v>
      </c>
      <c r="B160" t="s">
        <v>3</v>
      </c>
      <c r="C160">
        <v>2.7</v>
      </c>
      <c r="D160" t="s">
        <v>7</v>
      </c>
      <c r="E160">
        <v>8.8000000000000007</v>
      </c>
      <c r="F160">
        <v>1.9</v>
      </c>
      <c r="G160">
        <v>2.14</v>
      </c>
      <c r="H160">
        <v>0.4</v>
      </c>
      <c r="I160" t="s">
        <v>5</v>
      </c>
      <c r="J160">
        <v>8</v>
      </c>
      <c r="K160">
        <v>10</v>
      </c>
      <c r="L160">
        <v>3</v>
      </c>
    </row>
    <row r="161" spans="1:12" x14ac:dyDescent="0.3">
      <c r="A161">
        <v>13</v>
      </c>
      <c r="B161" t="s">
        <v>0</v>
      </c>
      <c r="C161">
        <v>7.5</v>
      </c>
      <c r="D161" t="s">
        <v>7</v>
      </c>
      <c r="E161">
        <v>8</v>
      </c>
      <c r="F161">
        <v>2</v>
      </c>
      <c r="G161">
        <v>3.25</v>
      </c>
      <c r="H161">
        <v>0.7</v>
      </c>
      <c r="I161" t="s">
        <v>6</v>
      </c>
      <c r="J161">
        <v>9</v>
      </c>
      <c r="K161">
        <v>10</v>
      </c>
      <c r="L161">
        <v>2</v>
      </c>
    </row>
    <row r="162" spans="1:12" x14ac:dyDescent="0.3">
      <c r="A162">
        <v>16</v>
      </c>
      <c r="B162" t="s">
        <v>3</v>
      </c>
      <c r="C162">
        <v>6.1</v>
      </c>
      <c r="D162" t="s">
        <v>7</v>
      </c>
      <c r="E162">
        <v>8.8000000000000007</v>
      </c>
      <c r="F162">
        <v>1.7</v>
      </c>
      <c r="G162">
        <v>3.55</v>
      </c>
      <c r="H162">
        <v>1.3</v>
      </c>
      <c r="I162" t="s">
        <v>6</v>
      </c>
      <c r="J162">
        <v>6</v>
      </c>
      <c r="K162">
        <v>10</v>
      </c>
      <c r="L162">
        <v>9</v>
      </c>
    </row>
    <row r="163" spans="1:12" x14ac:dyDescent="0.3">
      <c r="A163">
        <v>19</v>
      </c>
      <c r="B163" t="s">
        <v>0</v>
      </c>
      <c r="C163">
        <v>2.4</v>
      </c>
      <c r="D163" t="s">
        <v>7</v>
      </c>
      <c r="E163">
        <v>7.4</v>
      </c>
      <c r="F163">
        <v>1.2</v>
      </c>
      <c r="G163">
        <v>2.5</v>
      </c>
      <c r="H163">
        <v>1.8</v>
      </c>
      <c r="I163" t="s">
        <v>5</v>
      </c>
      <c r="J163">
        <v>2</v>
      </c>
      <c r="K163">
        <v>5</v>
      </c>
      <c r="L163">
        <v>2</v>
      </c>
    </row>
    <row r="164" spans="1:12" x14ac:dyDescent="0.3">
      <c r="A164">
        <v>19</v>
      </c>
      <c r="B164" t="s">
        <v>0</v>
      </c>
      <c r="C164">
        <v>2</v>
      </c>
      <c r="D164" t="s">
        <v>4</v>
      </c>
      <c r="E164">
        <v>5.3</v>
      </c>
      <c r="F164">
        <v>1.7</v>
      </c>
      <c r="G164">
        <v>2.91</v>
      </c>
      <c r="H164">
        <v>0.8</v>
      </c>
      <c r="I164" t="s">
        <v>2</v>
      </c>
      <c r="J164">
        <v>9</v>
      </c>
      <c r="K164">
        <v>5</v>
      </c>
      <c r="L164">
        <v>9</v>
      </c>
    </row>
    <row r="165" spans="1:12" x14ac:dyDescent="0.3">
      <c r="A165">
        <v>15</v>
      </c>
      <c r="B165" t="s">
        <v>3</v>
      </c>
      <c r="C165">
        <v>7.8</v>
      </c>
      <c r="D165" t="s">
        <v>4</v>
      </c>
      <c r="E165">
        <v>5.3</v>
      </c>
      <c r="F165">
        <v>0.5</v>
      </c>
      <c r="G165">
        <v>2.3199999999999998</v>
      </c>
      <c r="H165">
        <v>0.8</v>
      </c>
      <c r="I165" t="s">
        <v>2</v>
      </c>
      <c r="J165">
        <v>8</v>
      </c>
      <c r="K165">
        <v>9</v>
      </c>
      <c r="L165">
        <v>3</v>
      </c>
    </row>
    <row r="166" spans="1:12" x14ac:dyDescent="0.3">
      <c r="A166">
        <v>16</v>
      </c>
      <c r="B166" t="s">
        <v>3</v>
      </c>
      <c r="C166">
        <v>6.8</v>
      </c>
      <c r="D166" t="s">
        <v>4</v>
      </c>
      <c r="E166">
        <v>7.2</v>
      </c>
      <c r="F166">
        <v>2.5</v>
      </c>
      <c r="G166">
        <v>3.61</v>
      </c>
      <c r="H166">
        <v>0.5</v>
      </c>
      <c r="I166" t="s">
        <v>6</v>
      </c>
      <c r="J166">
        <v>10</v>
      </c>
      <c r="K166">
        <v>1</v>
      </c>
      <c r="L166">
        <v>9</v>
      </c>
    </row>
    <row r="167" spans="1:12" x14ac:dyDescent="0.3">
      <c r="A167">
        <v>17</v>
      </c>
      <c r="B167" t="s">
        <v>0</v>
      </c>
      <c r="C167">
        <v>8</v>
      </c>
      <c r="D167" t="s">
        <v>1</v>
      </c>
      <c r="E167">
        <v>4.5999999999999996</v>
      </c>
      <c r="F167">
        <v>2.6</v>
      </c>
      <c r="G167">
        <v>3.06</v>
      </c>
      <c r="H167">
        <v>0.1</v>
      </c>
      <c r="I167" t="s">
        <v>5</v>
      </c>
      <c r="J167">
        <v>9</v>
      </c>
      <c r="K167">
        <v>2</v>
      </c>
      <c r="L167">
        <v>6</v>
      </c>
    </row>
    <row r="168" spans="1:12" x14ac:dyDescent="0.3">
      <c r="A168">
        <v>13</v>
      </c>
      <c r="B168" t="s">
        <v>3</v>
      </c>
      <c r="C168">
        <v>7.3</v>
      </c>
      <c r="D168" t="s">
        <v>7</v>
      </c>
      <c r="E168">
        <v>8.9</v>
      </c>
      <c r="F168">
        <v>2.7</v>
      </c>
      <c r="G168">
        <v>3.68</v>
      </c>
      <c r="H168">
        <v>1.9</v>
      </c>
      <c r="I168" t="s">
        <v>2</v>
      </c>
      <c r="J168">
        <v>6</v>
      </c>
      <c r="K168">
        <v>6</v>
      </c>
      <c r="L168">
        <v>10</v>
      </c>
    </row>
    <row r="169" spans="1:12" x14ac:dyDescent="0.3">
      <c r="A169">
        <v>15</v>
      </c>
      <c r="B169" t="s">
        <v>3</v>
      </c>
      <c r="C169">
        <v>1.5</v>
      </c>
      <c r="D169" t="s">
        <v>7</v>
      </c>
      <c r="E169">
        <v>8.6999999999999993</v>
      </c>
      <c r="F169">
        <v>1.2</v>
      </c>
      <c r="G169">
        <v>2.52</v>
      </c>
      <c r="H169">
        <v>0.1</v>
      </c>
      <c r="I169" t="s">
        <v>2</v>
      </c>
      <c r="J169">
        <v>9</v>
      </c>
      <c r="K169">
        <v>7</v>
      </c>
      <c r="L169">
        <v>2</v>
      </c>
    </row>
    <row r="170" spans="1:12" x14ac:dyDescent="0.3">
      <c r="A170">
        <v>15</v>
      </c>
      <c r="B170" t="s">
        <v>3</v>
      </c>
      <c r="C170">
        <v>3.4</v>
      </c>
      <c r="D170" t="s">
        <v>1</v>
      </c>
      <c r="E170">
        <v>5</v>
      </c>
      <c r="F170">
        <v>1.8</v>
      </c>
      <c r="G170">
        <v>3.2</v>
      </c>
      <c r="H170">
        <v>1.5</v>
      </c>
      <c r="I170" t="s">
        <v>6</v>
      </c>
      <c r="J170">
        <v>4</v>
      </c>
      <c r="K170">
        <v>5</v>
      </c>
      <c r="L170">
        <v>1</v>
      </c>
    </row>
    <row r="171" spans="1:12" x14ac:dyDescent="0.3">
      <c r="A171">
        <v>15</v>
      </c>
      <c r="B171" t="s">
        <v>0</v>
      </c>
      <c r="C171">
        <v>7.3</v>
      </c>
      <c r="D171" t="s">
        <v>7</v>
      </c>
      <c r="E171">
        <v>4.8</v>
      </c>
      <c r="F171">
        <v>2.6</v>
      </c>
      <c r="G171">
        <v>3.81</v>
      </c>
      <c r="H171">
        <v>1.5</v>
      </c>
      <c r="I171" t="s">
        <v>2</v>
      </c>
      <c r="J171">
        <v>4</v>
      </c>
      <c r="K171">
        <v>7</v>
      </c>
      <c r="L171">
        <v>4</v>
      </c>
    </row>
    <row r="172" spans="1:12" x14ac:dyDescent="0.3">
      <c r="A172">
        <v>13</v>
      </c>
      <c r="B172" t="s">
        <v>3</v>
      </c>
      <c r="C172">
        <v>1.9</v>
      </c>
      <c r="D172" t="s">
        <v>4</v>
      </c>
      <c r="E172">
        <v>8.5</v>
      </c>
      <c r="F172">
        <v>0.8</v>
      </c>
      <c r="G172">
        <v>3.33</v>
      </c>
      <c r="H172">
        <v>1.3</v>
      </c>
      <c r="I172" t="s">
        <v>6</v>
      </c>
      <c r="J172">
        <v>5</v>
      </c>
      <c r="K172">
        <v>1</v>
      </c>
      <c r="L172">
        <v>3</v>
      </c>
    </row>
    <row r="173" spans="1:12" x14ac:dyDescent="0.3">
      <c r="A173">
        <v>17</v>
      </c>
      <c r="B173" t="s">
        <v>3</v>
      </c>
      <c r="C173">
        <v>3.9</v>
      </c>
      <c r="D173" t="s">
        <v>1</v>
      </c>
      <c r="E173">
        <v>8.1999999999999993</v>
      </c>
      <c r="F173">
        <v>1.3</v>
      </c>
      <c r="G173">
        <v>3.21</v>
      </c>
      <c r="H173">
        <v>1.8</v>
      </c>
      <c r="I173" t="s">
        <v>6</v>
      </c>
      <c r="J173">
        <v>3</v>
      </c>
      <c r="K173">
        <v>7</v>
      </c>
      <c r="L173">
        <v>7</v>
      </c>
    </row>
    <row r="174" spans="1:12" x14ac:dyDescent="0.3">
      <c r="A174">
        <v>18</v>
      </c>
      <c r="B174" t="s">
        <v>0</v>
      </c>
      <c r="C174">
        <v>1.3</v>
      </c>
      <c r="D174" t="s">
        <v>1</v>
      </c>
      <c r="E174">
        <v>5.8</v>
      </c>
      <c r="F174">
        <v>1.3</v>
      </c>
      <c r="G174">
        <v>3.35</v>
      </c>
      <c r="H174">
        <v>1.9</v>
      </c>
      <c r="I174" t="s">
        <v>6</v>
      </c>
      <c r="J174">
        <v>9</v>
      </c>
      <c r="K174">
        <v>4</v>
      </c>
      <c r="L174">
        <v>9</v>
      </c>
    </row>
    <row r="175" spans="1:12" x14ac:dyDescent="0.3">
      <c r="A175">
        <v>19</v>
      </c>
      <c r="B175" t="s">
        <v>0</v>
      </c>
      <c r="C175">
        <v>4.7</v>
      </c>
      <c r="D175" t="s">
        <v>4</v>
      </c>
      <c r="E175">
        <v>8.1999999999999993</v>
      </c>
      <c r="F175">
        <v>1.8</v>
      </c>
      <c r="G175">
        <v>2.2599999999999998</v>
      </c>
      <c r="H175">
        <v>1</v>
      </c>
      <c r="I175" t="s">
        <v>2</v>
      </c>
      <c r="J175">
        <v>7</v>
      </c>
      <c r="K175">
        <v>4</v>
      </c>
      <c r="L175">
        <v>7</v>
      </c>
    </row>
    <row r="176" spans="1:12" x14ac:dyDescent="0.3">
      <c r="A176">
        <v>15</v>
      </c>
      <c r="B176" t="s">
        <v>0</v>
      </c>
      <c r="C176">
        <v>1.9</v>
      </c>
      <c r="D176" t="s">
        <v>4</v>
      </c>
      <c r="E176">
        <v>5.8</v>
      </c>
      <c r="F176">
        <v>2.2999999999999998</v>
      </c>
      <c r="G176">
        <v>2.4700000000000002</v>
      </c>
      <c r="H176">
        <v>0.3</v>
      </c>
      <c r="I176" t="s">
        <v>5</v>
      </c>
      <c r="J176">
        <v>10</v>
      </c>
      <c r="K176">
        <v>9</v>
      </c>
      <c r="L176">
        <v>4</v>
      </c>
    </row>
    <row r="177" spans="1:12" x14ac:dyDescent="0.3">
      <c r="A177">
        <v>18</v>
      </c>
      <c r="B177" t="s">
        <v>3</v>
      </c>
      <c r="C177">
        <v>7</v>
      </c>
      <c r="D177" t="s">
        <v>7</v>
      </c>
      <c r="E177">
        <v>6.3</v>
      </c>
      <c r="F177">
        <v>1.6</v>
      </c>
      <c r="G177">
        <v>2.5499999999999998</v>
      </c>
      <c r="H177">
        <v>0.5</v>
      </c>
      <c r="I177" t="s">
        <v>6</v>
      </c>
      <c r="J177">
        <v>10</v>
      </c>
      <c r="K177">
        <v>1</v>
      </c>
      <c r="L177">
        <v>8</v>
      </c>
    </row>
    <row r="178" spans="1:12" x14ac:dyDescent="0.3">
      <c r="A178">
        <v>15</v>
      </c>
      <c r="B178" t="s">
        <v>0</v>
      </c>
      <c r="C178">
        <v>6.2</v>
      </c>
      <c r="D178" t="s">
        <v>4</v>
      </c>
      <c r="E178">
        <v>6.3</v>
      </c>
      <c r="F178">
        <v>1.7</v>
      </c>
      <c r="G178">
        <v>2.2599999999999998</v>
      </c>
      <c r="H178">
        <v>1.1000000000000001</v>
      </c>
      <c r="I178" t="s">
        <v>5</v>
      </c>
      <c r="J178">
        <v>9</v>
      </c>
      <c r="K178">
        <v>6</v>
      </c>
      <c r="L178">
        <v>2</v>
      </c>
    </row>
    <row r="179" spans="1:12" x14ac:dyDescent="0.3">
      <c r="A179">
        <v>14</v>
      </c>
      <c r="B179" t="s">
        <v>0</v>
      </c>
      <c r="C179">
        <v>3.2</v>
      </c>
      <c r="D179" t="s">
        <v>4</v>
      </c>
      <c r="E179">
        <v>8</v>
      </c>
      <c r="F179">
        <v>1.3</v>
      </c>
      <c r="G179">
        <v>2.5</v>
      </c>
      <c r="H179">
        <v>1.1000000000000001</v>
      </c>
      <c r="I179" t="s">
        <v>5</v>
      </c>
      <c r="J179">
        <v>2</v>
      </c>
      <c r="K179">
        <v>7</v>
      </c>
      <c r="L179">
        <v>5</v>
      </c>
    </row>
    <row r="180" spans="1:12" x14ac:dyDescent="0.3">
      <c r="A180">
        <v>18</v>
      </c>
      <c r="B180" t="s">
        <v>3</v>
      </c>
      <c r="C180">
        <v>4.5</v>
      </c>
      <c r="D180" t="s">
        <v>7</v>
      </c>
      <c r="E180">
        <v>7.9</v>
      </c>
      <c r="F180">
        <v>1.4</v>
      </c>
      <c r="G180">
        <v>2.38</v>
      </c>
      <c r="H180">
        <v>0.1</v>
      </c>
      <c r="I180" t="s">
        <v>5</v>
      </c>
      <c r="J180">
        <v>7</v>
      </c>
      <c r="K180">
        <v>9</v>
      </c>
      <c r="L180">
        <v>1</v>
      </c>
    </row>
    <row r="181" spans="1:12" x14ac:dyDescent="0.3">
      <c r="A181">
        <v>14</v>
      </c>
      <c r="B181" t="s">
        <v>3</v>
      </c>
      <c r="C181">
        <v>1.1000000000000001</v>
      </c>
      <c r="D181" t="s">
        <v>7</v>
      </c>
      <c r="E181">
        <v>6.1</v>
      </c>
      <c r="F181">
        <v>2.5</v>
      </c>
      <c r="G181">
        <v>2.8</v>
      </c>
      <c r="H181">
        <v>1.8</v>
      </c>
      <c r="I181" t="s">
        <v>5</v>
      </c>
      <c r="J181">
        <v>4</v>
      </c>
      <c r="K181">
        <v>10</v>
      </c>
      <c r="L181">
        <v>3</v>
      </c>
    </row>
    <row r="182" spans="1:12" x14ac:dyDescent="0.3">
      <c r="A182">
        <v>13</v>
      </c>
      <c r="B182" t="s">
        <v>0</v>
      </c>
      <c r="C182">
        <v>5.9</v>
      </c>
      <c r="D182" t="s">
        <v>1</v>
      </c>
      <c r="E182">
        <v>8</v>
      </c>
      <c r="F182">
        <v>2.8</v>
      </c>
      <c r="G182">
        <v>3.21</v>
      </c>
      <c r="H182">
        <v>1.6</v>
      </c>
      <c r="I182" t="s">
        <v>6</v>
      </c>
      <c r="J182">
        <v>2</v>
      </c>
      <c r="K182">
        <v>8</v>
      </c>
      <c r="L182">
        <v>8</v>
      </c>
    </row>
    <row r="183" spans="1:12" x14ac:dyDescent="0.3">
      <c r="A183">
        <v>17</v>
      </c>
      <c r="B183" t="s">
        <v>0</v>
      </c>
      <c r="C183">
        <v>5.0999999999999996</v>
      </c>
      <c r="D183" t="s">
        <v>7</v>
      </c>
      <c r="E183">
        <v>5</v>
      </c>
      <c r="F183">
        <v>2.2000000000000002</v>
      </c>
      <c r="G183">
        <v>3.58</v>
      </c>
      <c r="H183">
        <v>1.2</v>
      </c>
      <c r="I183" t="s">
        <v>5</v>
      </c>
      <c r="J183">
        <v>6</v>
      </c>
      <c r="K183">
        <v>3</v>
      </c>
      <c r="L183">
        <v>9</v>
      </c>
    </row>
    <row r="184" spans="1:12" x14ac:dyDescent="0.3">
      <c r="A184">
        <v>15</v>
      </c>
      <c r="B184" t="s">
        <v>0</v>
      </c>
      <c r="C184">
        <v>1.6</v>
      </c>
      <c r="D184" t="s">
        <v>1</v>
      </c>
      <c r="E184">
        <v>6.9</v>
      </c>
      <c r="F184">
        <v>2.2999999999999998</v>
      </c>
      <c r="G184">
        <v>3.16</v>
      </c>
      <c r="H184">
        <v>0.9</v>
      </c>
      <c r="I184" t="s">
        <v>6</v>
      </c>
      <c r="J184">
        <v>3</v>
      </c>
      <c r="K184">
        <v>1</v>
      </c>
      <c r="L184">
        <v>5</v>
      </c>
    </row>
    <row r="185" spans="1:12" x14ac:dyDescent="0.3">
      <c r="A185">
        <v>15</v>
      </c>
      <c r="B185" t="s">
        <v>3</v>
      </c>
      <c r="C185">
        <v>7.2</v>
      </c>
      <c r="D185" t="s">
        <v>4</v>
      </c>
      <c r="E185">
        <v>8</v>
      </c>
      <c r="F185">
        <v>1.4</v>
      </c>
      <c r="G185">
        <v>3.64</v>
      </c>
      <c r="H185">
        <v>0.4</v>
      </c>
      <c r="I185" t="s">
        <v>6</v>
      </c>
      <c r="J185">
        <v>10</v>
      </c>
      <c r="K185">
        <v>5</v>
      </c>
      <c r="L185">
        <v>7</v>
      </c>
    </row>
    <row r="186" spans="1:12" x14ac:dyDescent="0.3">
      <c r="A186">
        <v>17</v>
      </c>
      <c r="B186" t="s">
        <v>3</v>
      </c>
      <c r="C186">
        <v>1.4</v>
      </c>
      <c r="D186" t="s">
        <v>1</v>
      </c>
      <c r="E186">
        <v>6.9</v>
      </c>
      <c r="F186">
        <v>2.4</v>
      </c>
      <c r="G186">
        <v>3.06</v>
      </c>
      <c r="H186">
        <v>1.9</v>
      </c>
      <c r="I186" t="s">
        <v>6</v>
      </c>
      <c r="J186">
        <v>4</v>
      </c>
      <c r="K186">
        <v>10</v>
      </c>
      <c r="L186">
        <v>8</v>
      </c>
    </row>
    <row r="187" spans="1:12" x14ac:dyDescent="0.3">
      <c r="A187">
        <v>17</v>
      </c>
      <c r="B187" t="s">
        <v>3</v>
      </c>
      <c r="C187">
        <v>6.6</v>
      </c>
      <c r="D187" t="s">
        <v>1</v>
      </c>
      <c r="E187">
        <v>8</v>
      </c>
      <c r="F187">
        <v>2.2000000000000002</v>
      </c>
      <c r="G187">
        <v>2.21</v>
      </c>
      <c r="H187">
        <v>1</v>
      </c>
      <c r="I187" t="s">
        <v>5</v>
      </c>
      <c r="J187">
        <v>10</v>
      </c>
      <c r="K187">
        <v>8</v>
      </c>
      <c r="L187">
        <v>10</v>
      </c>
    </row>
    <row r="188" spans="1:12" x14ac:dyDescent="0.3">
      <c r="A188">
        <v>15</v>
      </c>
      <c r="B188" t="s">
        <v>3</v>
      </c>
      <c r="C188">
        <v>3.5</v>
      </c>
      <c r="D188" t="s">
        <v>1</v>
      </c>
      <c r="E188">
        <v>6.3</v>
      </c>
      <c r="F188">
        <v>0.8</v>
      </c>
      <c r="G188">
        <v>2.71</v>
      </c>
      <c r="H188">
        <v>1.8</v>
      </c>
      <c r="I188" t="s">
        <v>5</v>
      </c>
      <c r="J188">
        <v>7</v>
      </c>
      <c r="K188">
        <v>4</v>
      </c>
      <c r="L188">
        <v>2</v>
      </c>
    </row>
    <row r="189" spans="1:12" x14ac:dyDescent="0.3">
      <c r="A189">
        <v>17</v>
      </c>
      <c r="B189" t="s">
        <v>3</v>
      </c>
      <c r="C189">
        <v>5.4</v>
      </c>
      <c r="D189" t="s">
        <v>7</v>
      </c>
      <c r="E189">
        <v>6.3</v>
      </c>
      <c r="F189">
        <v>2.8</v>
      </c>
      <c r="G189">
        <v>3.06</v>
      </c>
      <c r="H189">
        <v>0.8</v>
      </c>
      <c r="I189" t="s">
        <v>2</v>
      </c>
      <c r="J189">
        <v>3</v>
      </c>
      <c r="K189">
        <v>7</v>
      </c>
      <c r="L189">
        <v>9</v>
      </c>
    </row>
    <row r="190" spans="1:12" x14ac:dyDescent="0.3">
      <c r="A190">
        <v>16</v>
      </c>
      <c r="B190" t="s">
        <v>3</v>
      </c>
      <c r="C190">
        <v>4.2</v>
      </c>
      <c r="D190" t="s">
        <v>7</v>
      </c>
      <c r="E190">
        <v>7.3</v>
      </c>
      <c r="F190">
        <v>1.1000000000000001</v>
      </c>
      <c r="G190">
        <v>3.1</v>
      </c>
      <c r="H190">
        <v>1.6</v>
      </c>
      <c r="I190" t="s">
        <v>6</v>
      </c>
      <c r="J190">
        <v>1</v>
      </c>
      <c r="K190">
        <v>6</v>
      </c>
      <c r="L190">
        <v>2</v>
      </c>
    </row>
    <row r="191" spans="1:12" x14ac:dyDescent="0.3">
      <c r="A191">
        <v>13</v>
      </c>
      <c r="B191" t="s">
        <v>0</v>
      </c>
      <c r="C191">
        <v>2.5</v>
      </c>
      <c r="D191" t="s">
        <v>1</v>
      </c>
      <c r="E191">
        <v>8.3000000000000007</v>
      </c>
      <c r="F191">
        <v>1.6</v>
      </c>
      <c r="G191">
        <v>2.91</v>
      </c>
      <c r="H191">
        <v>0.6</v>
      </c>
      <c r="I191" t="s">
        <v>5</v>
      </c>
      <c r="J191">
        <v>10</v>
      </c>
      <c r="K191">
        <v>2</v>
      </c>
      <c r="L191">
        <v>6</v>
      </c>
    </row>
    <row r="192" spans="1:12" x14ac:dyDescent="0.3">
      <c r="A192">
        <v>16</v>
      </c>
      <c r="B192" t="s">
        <v>3</v>
      </c>
      <c r="C192">
        <v>3.8</v>
      </c>
      <c r="D192" t="s">
        <v>4</v>
      </c>
      <c r="E192">
        <v>6</v>
      </c>
      <c r="F192">
        <v>3</v>
      </c>
      <c r="G192">
        <v>2.1</v>
      </c>
      <c r="H192">
        <v>0.2</v>
      </c>
      <c r="I192" t="s">
        <v>2</v>
      </c>
      <c r="J192">
        <v>7</v>
      </c>
      <c r="K192">
        <v>9</v>
      </c>
      <c r="L192">
        <v>1</v>
      </c>
    </row>
    <row r="193" spans="1:12" x14ac:dyDescent="0.3">
      <c r="A193">
        <v>13</v>
      </c>
      <c r="B193" t="s">
        <v>0</v>
      </c>
      <c r="C193">
        <v>1.8</v>
      </c>
      <c r="D193" t="s">
        <v>1</v>
      </c>
      <c r="E193">
        <v>8.9</v>
      </c>
      <c r="F193">
        <v>1.2</v>
      </c>
      <c r="G193">
        <v>3.67</v>
      </c>
      <c r="H193">
        <v>0.1</v>
      </c>
      <c r="I193" t="s">
        <v>6</v>
      </c>
      <c r="J193">
        <v>2</v>
      </c>
      <c r="K193">
        <v>8</v>
      </c>
      <c r="L193">
        <v>9</v>
      </c>
    </row>
    <row r="194" spans="1:12" x14ac:dyDescent="0.3">
      <c r="A194">
        <v>14</v>
      </c>
      <c r="B194" t="s">
        <v>0</v>
      </c>
      <c r="C194">
        <v>5.4</v>
      </c>
      <c r="D194" t="s">
        <v>1</v>
      </c>
      <c r="E194">
        <v>5.6</v>
      </c>
      <c r="F194">
        <v>1.8</v>
      </c>
      <c r="G194">
        <v>3.01</v>
      </c>
      <c r="H194">
        <v>0.9</v>
      </c>
      <c r="I194" t="s">
        <v>2</v>
      </c>
      <c r="J194">
        <v>10</v>
      </c>
      <c r="K194">
        <v>6</v>
      </c>
      <c r="L194">
        <v>8</v>
      </c>
    </row>
    <row r="195" spans="1:12" x14ac:dyDescent="0.3">
      <c r="A195">
        <v>14</v>
      </c>
      <c r="B195" t="s">
        <v>3</v>
      </c>
      <c r="C195">
        <v>7.7</v>
      </c>
      <c r="D195" t="s">
        <v>1</v>
      </c>
      <c r="E195">
        <v>6.1</v>
      </c>
      <c r="F195">
        <v>0.8</v>
      </c>
      <c r="G195">
        <v>3.47</v>
      </c>
      <c r="H195">
        <v>1.5</v>
      </c>
      <c r="I195" t="s">
        <v>6</v>
      </c>
      <c r="J195">
        <v>9</v>
      </c>
      <c r="K195">
        <v>10</v>
      </c>
      <c r="L195">
        <v>9</v>
      </c>
    </row>
    <row r="196" spans="1:12" x14ac:dyDescent="0.3">
      <c r="A196">
        <v>18</v>
      </c>
      <c r="B196" t="s">
        <v>3</v>
      </c>
      <c r="C196">
        <v>4.0999999999999996</v>
      </c>
      <c r="D196" t="s">
        <v>1</v>
      </c>
      <c r="E196">
        <v>8</v>
      </c>
      <c r="F196">
        <v>1.7</v>
      </c>
      <c r="G196">
        <v>2.29</v>
      </c>
      <c r="H196">
        <v>1.4</v>
      </c>
      <c r="I196" t="s">
        <v>2</v>
      </c>
      <c r="J196">
        <v>2</v>
      </c>
      <c r="K196">
        <v>1</v>
      </c>
      <c r="L196">
        <v>10</v>
      </c>
    </row>
    <row r="197" spans="1:12" x14ac:dyDescent="0.3">
      <c r="A197">
        <v>15</v>
      </c>
      <c r="B197" t="s">
        <v>3</v>
      </c>
      <c r="C197">
        <v>6.6</v>
      </c>
      <c r="D197" t="s">
        <v>7</v>
      </c>
      <c r="E197">
        <v>4.9000000000000004</v>
      </c>
      <c r="F197">
        <v>3</v>
      </c>
      <c r="G197">
        <v>2.99</v>
      </c>
      <c r="H197">
        <v>0.9</v>
      </c>
      <c r="I197" t="s">
        <v>6</v>
      </c>
      <c r="J197">
        <v>4</v>
      </c>
      <c r="K197">
        <v>8</v>
      </c>
      <c r="L197">
        <v>3</v>
      </c>
    </row>
    <row r="198" spans="1:12" x14ac:dyDescent="0.3">
      <c r="A198">
        <v>16</v>
      </c>
      <c r="B198" t="s">
        <v>0</v>
      </c>
      <c r="C198">
        <v>2.2999999999999998</v>
      </c>
      <c r="D198" t="s">
        <v>7</v>
      </c>
      <c r="E198">
        <v>4.0999999999999996</v>
      </c>
      <c r="F198">
        <v>0.8</v>
      </c>
      <c r="G198">
        <v>3.18</v>
      </c>
      <c r="H198">
        <v>1.7</v>
      </c>
      <c r="I198" t="s">
        <v>6</v>
      </c>
      <c r="J198">
        <v>5</v>
      </c>
      <c r="K198">
        <v>3</v>
      </c>
      <c r="L198">
        <v>8</v>
      </c>
    </row>
    <row r="199" spans="1:12" x14ac:dyDescent="0.3">
      <c r="A199">
        <v>17</v>
      </c>
      <c r="B199" t="s">
        <v>3</v>
      </c>
      <c r="C199">
        <v>7.5</v>
      </c>
      <c r="D199" t="s">
        <v>1</v>
      </c>
      <c r="E199">
        <v>5.9</v>
      </c>
      <c r="F199">
        <v>2.9</v>
      </c>
      <c r="G199">
        <v>3.71</v>
      </c>
      <c r="H199">
        <v>1.7</v>
      </c>
      <c r="I199" t="s">
        <v>2</v>
      </c>
      <c r="J199">
        <v>3</v>
      </c>
      <c r="K199">
        <v>1</v>
      </c>
      <c r="L199">
        <v>10</v>
      </c>
    </row>
    <row r="200" spans="1:12" x14ac:dyDescent="0.3">
      <c r="A200">
        <v>18</v>
      </c>
      <c r="B200" t="s">
        <v>0</v>
      </c>
      <c r="C200">
        <v>7.1</v>
      </c>
      <c r="D200" t="s">
        <v>1</v>
      </c>
      <c r="E200">
        <v>8</v>
      </c>
      <c r="F200">
        <v>2.9</v>
      </c>
      <c r="G200">
        <v>2.59</v>
      </c>
      <c r="H200">
        <v>1.2</v>
      </c>
      <c r="I200" t="s">
        <v>5</v>
      </c>
      <c r="J200">
        <v>10</v>
      </c>
      <c r="K200">
        <v>8</v>
      </c>
      <c r="L200">
        <v>5</v>
      </c>
    </row>
    <row r="201" spans="1:12" x14ac:dyDescent="0.3">
      <c r="A201">
        <v>17</v>
      </c>
      <c r="B201" t="s">
        <v>3</v>
      </c>
      <c r="C201">
        <v>1.7</v>
      </c>
      <c r="D201" t="s">
        <v>7</v>
      </c>
      <c r="E201">
        <v>6.3</v>
      </c>
      <c r="F201">
        <v>1.5</v>
      </c>
      <c r="G201">
        <v>2.66</v>
      </c>
      <c r="H201">
        <v>1.8</v>
      </c>
      <c r="I201" t="s">
        <v>2</v>
      </c>
      <c r="J201">
        <v>1</v>
      </c>
      <c r="K201">
        <v>4</v>
      </c>
      <c r="L201">
        <v>10</v>
      </c>
    </row>
  </sheetData>
  <conditionalFormatting sqref="J2:J201">
    <cfRule type="dataBar" priority="1">
      <dataBar>
        <cfvo type="min"/>
        <cfvo type="max"/>
        <color rgb="FFFF555A"/>
      </dataBar>
      <extLst>
        <ext xmlns:x14="http://schemas.microsoft.com/office/spreadsheetml/2009/9/main" uri="{B025F937-C7B1-47D3-B67F-A62EFF666E3E}">
          <x14:id>{C1F8B5DB-2CF5-4069-BC65-1EF2B0765C38}</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C1F8B5DB-2CF5-4069-BC65-1EF2B0765C38}">
            <x14:dataBar minLength="0" maxLength="100" border="1" negativeBarBorderColorSameAsPositive="0">
              <x14:cfvo type="autoMin"/>
              <x14:cfvo type="autoMax"/>
              <x14:borderColor rgb="FFFF555A"/>
              <x14:negativeFillColor rgb="FFFF0000"/>
              <x14:negativeBorderColor rgb="FFFF0000"/>
              <x14:axisColor rgb="FF000000"/>
            </x14:dataBar>
          </x14:cfRule>
          <xm:sqref>J2:J201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Dashboard</vt:lpstr>
      <vt:lpstr>Formulas</vt:lpstr>
      <vt:lpstr>Ahmed_ExcelDashboard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dc:creator>
  <cp:lastModifiedBy>Ahmed Bhesania</cp:lastModifiedBy>
  <dcterms:created xsi:type="dcterms:W3CDTF">2026-04-25T04:40:30Z</dcterms:created>
  <dcterms:modified xsi:type="dcterms:W3CDTF">2026-04-25T06:04:16Z</dcterms:modified>
</cp:coreProperties>
</file>